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ecutive Summary" sheetId="1" r:id="rId5"/>
    <sheet state="visible" name="MA Review Tracker" sheetId="2" r:id="rId6"/>
    <sheet state="visible" name="Reference Library" sheetId="3" r:id="rId7"/>
    <sheet state="visible" name="Reference-Only Fallback" sheetId="4" r:id="rId8"/>
  </sheets>
  <definedNames/>
  <calcPr/>
</workbook>
</file>

<file path=xl/sharedStrings.xml><?xml version="1.0" encoding="utf-8"?>
<sst xmlns="http://schemas.openxmlformats.org/spreadsheetml/2006/main" count="691" uniqueCount="495">
  <si>
    <t>Practo × Eli Lilly | Metabolic Health Microsite
Medical Affairs Claim &amp; Evidence Review</t>
  </si>
  <si>
    <t>Purpose: Working tracker for Marketing/Comms to update claims, references and copy before final Medical Affairs re-review. Review date: 21 Sep 2026.</t>
  </si>
  <si>
    <t>TOTAL CLAIMS</t>
  </si>
  <si>
    <t>PASS / CLAIM-REF ACCEPTABLE</t>
  </si>
  <si>
    <t>COPY / REFERENCE ACTION</t>
  </si>
  <si>
    <t>REFRAME / STRUCTURAL</t>
  </si>
  <si>
    <t>How to read the MA decision</t>
  </si>
  <si>
    <t>YES – Current claim + reference acceptable</t>
  </si>
  <si>
    <t>Claim and evidence are aligned. Keep copy/reference unless the row specifically asks for a context edit.</t>
  </si>
  <si>
    <t>NO – Claim acceptable; reference update required</t>
  </si>
  <si>
    <t>Claim can remain essentially as written, but a stronger/more direct source should replace or supplement the current citation.</t>
  </si>
  <si>
    <t>NO – Copy + reference update required</t>
  </si>
  <si>
    <t>The concept is usable, but wording must be narrowed/clarified and the citation updated.</t>
  </si>
  <si>
    <t>NO – Current framing not approvable by citation alone</t>
  </si>
  <si>
    <t>The issue is structural or validation-related; a different citation alone cannot make the current framing medically approvable.</t>
  </si>
  <si>
    <t>Marketing / Intern workflow</t>
  </si>
  <si>
    <t>1</t>
  </si>
  <si>
    <t>Work row-by-row in “MA Review Tracker”. Do not alter claims marked YES unless the row explicitly asks for a context edit.</t>
  </si>
  <si>
    <t>2</t>
  </si>
  <si>
    <t>For NO rows, use the exact “Required marketing wording” where provided and update the microsite superscript/reference mapping.</t>
  </si>
  <si>
    <t>3</t>
  </si>
  <si>
    <t>Add the recommended sources from “Reference Library”. Remove/replace only the references explicitly called out.</t>
  </si>
  <si>
    <t>4</t>
  </si>
  <si>
    <t>For claim 14, update both text and the waist-measurement visual. For claim 23, choose the self-check route or return the validated scoring framework to MA.</t>
  </si>
  <si>
    <t>5</t>
  </si>
  <si>
    <t>Update “Execution Status”. When all applicable rows are “Ready for MA re-review”, return the revised microsite + bibliography for final sign-off.</t>
  </si>
  <si>
    <t>Priority items before re-review</t>
  </si>
  <si>
    <t>Mandatory clean-up: Claim 9 / current Ref 7 bibliographic mismatch; Claim 14 waist-measurement protocol + visual; Claims 16–21 symptom/sign framing; Claim 23 “risk assessment” terminology / validation.</t>
  </si>
  <si>
    <t>Reference-Only Fallback Scenario | Client-Approved Copy Locked</t>
  </si>
  <si>
    <t>Medical Affairs Claim Review Tracker</t>
  </si>
  <si>
    <t>Scenario assumption: Lilly-approved marketing copy is not changed. This tab identifies the strongest available references for the exact existing wording and clearly separates (1) claims that can be fully supported by reference updates alone, (2) claims where stronger references improve defensibility but leave a residual wording/evidence mismatch, and (3) issues that cannot be solved by citation alone. This is a fallback risk-management route, not a replacement for the primary MA recommendations in the main tracker.</t>
  </si>
  <si>
    <t>Use column E for the Medical Affairs decision, columns F–I for the rationale and execution, and column K to track completion.</t>
  </si>
  <si>
    <t>Claim ID</t>
  </si>
  <si>
    <t>GREEN – REFERENCE-ONLY SUFFICIENT</t>
  </si>
  <si>
    <t>AMBER – RESIDUAL MISMATCH</t>
  </si>
  <si>
    <t>RED – CANNOT FIX BY REFERENCE</t>
  </si>
  <si>
    <t>Reference Library &amp; Bibliography Crosswalk</t>
  </si>
  <si>
    <t>Recommended sources are externally verified for bibliographic details; existing microsite references are transcribed from the PDF provided for this review.</t>
  </si>
  <si>
    <t>Microsite page / section</t>
  </si>
  <si>
    <t>A. Recommended / Replacement References</t>
  </si>
  <si>
    <t>Existing marketing claim</t>
  </si>
  <si>
    <t>Current reference(s)</t>
  </si>
  <si>
    <t>MA decision on existing claim + reference</t>
  </si>
  <si>
    <t>MA assessment of current evidence</t>
  </si>
  <si>
    <t>Better evidence / reference to use</t>
  </si>
  <si>
    <t>Code</t>
  </si>
  <si>
    <t>Required marketing wording</t>
  </si>
  <si>
    <t>Marketing / Intern action</t>
  </si>
  <si>
    <t>Action type</t>
  </si>
  <si>
    <t>Execution Status</t>
  </si>
  <si>
    <t>Full citation</t>
  </si>
  <si>
    <t>Evidence type</t>
  </si>
  <si>
    <t>p2 · What metabolic health includes</t>
  </si>
  <si>
    <t>Claim IDs</t>
  </si>
  <si>
    <t>“Metabolic health covers five measures: blood sugar, cholesterol, body weight, blood pressure, waist circumference.”</t>
  </si>
  <si>
    <t>Why this source is a better fit</t>
  </si>
  <si>
    <t>Ref 1 – Alberti et al., Circulation 2009</t>
  </si>
  <si>
    <t>DOI / ID</t>
  </si>
  <si>
    <t>Ref 1 defines metabolic syndrome, not metabolic health. Its five diagnostic components also do not exactly match the five items displayed on the microsite.</t>
  </si>
  <si>
    <t>Source URL</t>
  </si>
  <si>
    <t>R1 – Lloyd-Jones et al., Circulation 2022 + R2 – Araújo et al., Metab Syndr Relat Disord 2019</t>
  </si>
  <si>
    <t>“Some commonly assessed measures that help build a picture of metabolic health include blood sugar, blood lipids, blood pressure, body weight and waist circumference.”</t>
  </si>
  <si>
    <t>R1</t>
  </si>
  <si>
    <t>Lloyd-Jones DM, et al. Life’s Essential 8: Updating and Enhancing the American Heart Association’s Construct of Cardiovascular Health: A Presidential Advisory From the American Heart Association. Circulation. 2022;146(5):e18-e43.</t>
  </si>
  <si>
    <t>Replace the current sentence. Add R1/R2 to the bibliography and map the superscript(s) to this statement.</t>
  </si>
  <si>
    <t>Presidential advisory / consensus</t>
  </si>
  <si>
    <t>Copy + Ref</t>
  </si>
  <si>
    <t>Supports weight/BMI, blood lipids, blood glucose and blood pressure as major health metrics.</t>
  </si>
  <si>
    <t>10.1161/CIR.0000000000001078</t>
  </si>
  <si>
    <t>https://pubmed.ncbi.nlm.nih.gov/35766027/</t>
  </si>
  <si>
    <t>R2</t>
  </si>
  <si>
    <t>Araújo J, Cai J, Stevens J. Prevalence of Optimal Metabolic Health in American Adults: National Health and Nutrition Examination Survey 2009-2016. Metab Syndr Relat Disord. 2019;17(1):46-52.</t>
  </si>
  <si>
    <t>NHANES analysis using a guideline-based operational definition</t>
  </si>
  <si>
    <t>Operational definition of metabolic health using waist circumference, glucose/HbA1c, blood pressure, triglycerides and HDL-C.</t>
  </si>
  <si>
    <t>Not Started</t>
  </si>
  <si>
    <t>10.1089/met.2018.0105</t>
  </si>
  <si>
    <t>https://pubmed.ncbi.nlm.nih.gov/30484738/</t>
  </si>
  <si>
    <t>R3</t>
  </si>
  <si>
    <t>Ford ES, Li C, Sattar N. Metabolic syndrome and incident diabetes: current state of the evidence. Diabetes Care. 2008;31(9):1898-1904.</t>
  </si>
  <si>
    <t>p4 · Benefits</t>
  </si>
  <si>
    <t>Quantitative review of prospective studies</t>
  </si>
  <si>
    <t>“Good metabolic health is linked with a lower long-term risk of type 2 diabetes.”</t>
  </si>
  <si>
    <t>2, 4</t>
  </si>
  <si>
    <t>Direct longitudinal evidence linking metabolic syndrome to incident diabetes.</t>
  </si>
  <si>
    <t>10.2337/dc08-0423</t>
  </si>
  <si>
    <t>The direction is appropriate, but the current source is a definition/consensus paper rather than the strongest evidence for long-term incident diabetes risk.</t>
  </si>
  <si>
    <t>R3 – Ford, Li &amp; Sattar, Diabetes Care 2008</t>
  </si>
  <si>
    <t>https://pubmed.ncbi.nlm.nih.gov/18591398/</t>
  </si>
  <si>
    <t>No change required.</t>
  </si>
  <si>
    <t>Keep the copy. Replace/add the citation with R3.</t>
  </si>
  <si>
    <t>R4</t>
  </si>
  <si>
    <t>Ref only</t>
  </si>
  <si>
    <t>Mottillo S, et al. The metabolic syndrome and cardiovascular risk: a systematic review and meta-analysis. J Am Coll Cardiol. 2010;56(14):1113-1132.</t>
  </si>
  <si>
    <t>Systematic review &amp; meta-analysis</t>
  </si>
  <si>
    <t>3, 4</t>
  </si>
  <si>
    <t>“Good metabolic health is linked with a lower long-term risk of heart and blood vessel disease.”</t>
  </si>
  <si>
    <t>87 studies / 951,083 participants; strong evidence for cardiovascular outcomes.</t>
  </si>
  <si>
    <t>10.1016/j.jacc.2010.05.034</t>
  </si>
  <si>
    <t>The direction is appropriate, but the current source does not optimally substantiate long-term cardiovascular outcomes.</t>
  </si>
  <si>
    <t>https://pubmed.ncbi.nlm.nih.gov/20863953/</t>
  </si>
  <si>
    <t>R4 – Mottillo et al., J Am Coll Cardiol 2010</t>
  </si>
  <si>
    <t>R5</t>
  </si>
  <si>
    <t>Keep the copy. Replace/add the citation with R4.</t>
  </si>
  <si>
    <t>Stefan N, Schick F, Häring HU. Causes, Characteristics, and Consequences of Metabolically Unhealthy Normal Weight in Humans. Cell Metab. 2017;26(2):292-300.</t>
  </si>
  <si>
    <t>Review</t>
  </si>
  <si>
    <t>p4 · Downstream effects</t>
  </si>
  <si>
    <t>Directly supports metabolically unhealthy normal-weight phenotypes and insulin-resistance-related abnormalities despite normal BMI.</t>
  </si>
  <si>
    <t>“Poor metabolic health can influence the risk of type 2 diabetes / heart and blood vessel disease.”</t>
  </si>
  <si>
    <t>Interpretation: GREEN = exact claim can reasonably stay as-is with reference update only | AMBER = strongest evidence improves support but does not fully remove a wording/construct mismatch | RED = citation alone cannot validate the current item</t>
  </si>
  <si>
    <t>Refs 1 + 3</t>
  </si>
  <si>
    <t>10.1016/j.cmet.2017.07.008</t>
  </si>
  <si>
    <t>https://pubmed.ncbi.nlm.nih.gov/28768170/</t>
  </si>
  <si>
    <t>Prospective evidence strongly supports an association, but “influence” can imply causality. Ref 3 is principally a fatty-liver nomenclature consensus and is not the best outcome source.</t>
  </si>
  <si>
    <t>R3 – Ford et al. 2008 + R4 – Mottillo et al. 2010</t>
  </si>
  <si>
    <t>R6</t>
  </si>
  <si>
    <t>“Poor metabolic health is associated with a higher long-term risk of type 2 diabetes and cardiovascular disease.”</t>
  </si>
  <si>
    <t>Thomas EL, Frost G, Taylor-Robinson SD, Bell JD. Excess body fat in obese and normal-weight subjects. Nutr Res Rev. 2012;25(1):150-161.</t>
  </si>
  <si>
    <t>Page / section</t>
  </si>
  <si>
    <t>Replace “can influence” with “is associated with”. Cite R3/R4.</t>
  </si>
  <si>
    <t>Review of body-fat / ectopic-fat phenotypes</t>
  </si>
  <si>
    <t>Existing Lilly-approved claim (LOCKED)</t>
  </si>
  <si>
    <t>6</t>
  </si>
  <si>
    <t>Reference-only MA status</t>
  </si>
  <si>
    <t>Supports ectopic and abdominal fat accumulation in normal-weight as well as obese individuals.</t>
  </si>
  <si>
    <t>p4 · Blood sugar / insulin</t>
  </si>
  <si>
    <t>Strongest reference(s) if copy cannot change</t>
  </si>
  <si>
    <t>10.1017/S0954422412000054</t>
  </si>
  <si>
    <t>Insulin may work less efficiently, and this can occur without an obvious change in weight.</t>
  </si>
  <si>
    <t>What the evidence supports</t>
  </si>
  <si>
    <t>https://pubmed.ncbi.nlm.nih.gov/22625426/</t>
  </si>
  <si>
    <t>Refs 4 + 2 – ADA + Tang et al.</t>
  </si>
  <si>
    <t>Residual MA caveat with exact wording</t>
  </si>
  <si>
    <t>R7</t>
  </si>
  <si>
    <t>The current sources are indirectly relevant but do not cleanly establish the exact claim. Metabolically unhealthy normal-weight phenotypes and insulin resistance are better documented elsewhere.</t>
  </si>
  <si>
    <t>Marketing / Intern action – reference-only scenario</t>
  </si>
  <si>
    <t>Engeroff T, Groneberg DA, Wilke J. After Dinner Rest a While, After Supper Walk a Mile? A Systematic Review with Meta-analysis on the Acute Postprandial Glycemic Response to Exercise Before and After Meal Ingestion. Sports Med. 2023;53(4):849-869.</t>
  </si>
  <si>
    <t>R5 – Stefan, Schick &amp; Häring, Cell Metab 2017</t>
  </si>
  <si>
    <t>Source URL(s)</t>
  </si>
  <si>
    <t>“Metabolic changes, including insulin resistance, can occur even in people who are not overweight.”</t>
  </si>
  <si>
    <t>8</t>
  </si>
  <si>
    <t>Replace the sentence and cite R5. Retain ADA elsewhere for glucose physiology where relevant.</t>
  </si>
  <si>
    <t>Directly evaluates exercise timing around meals and postprandial glycaemic response.</t>
  </si>
  <si>
    <t>10.1007/s40279-022-01808-7</t>
  </si>
  <si>
    <t>https://pubmed.ncbi.nlm.nih.gov/36715875/</t>
  </si>
  <si>
    <t>p5 · Where fat is stored</t>
  </si>
  <si>
    <t>R8</t>
  </si>
  <si>
    <t>“Fat can also build up inside organs, even in people who aren’t overweight.”</t>
  </si>
  <si>
    <t>AMBER – Stronger references improve support; residual wording mismatch remains</t>
  </si>
  <si>
    <t>Ref 2 – Tang et al., Clin Gastroenterol Hepatol 2023</t>
  </si>
  <si>
    <t>Lloyd-Jones et al., Circulation 2022 (Life’s Essential 8) + Araújo et al., Metab Syndr Relat Disord 2019 + Ross et al., Nat Rev Endocrinol 2020</t>
  </si>
  <si>
    <t>Wolever TMS, Zurbau A, Koecher K, Au-Yeung F. The Effect of Adding Protein to a Carbohydrate Meal on Postprandial Glucose and Insulin Responses: A Systematic Review and Meta-Analysis of Acute Controlled Feeding Trials. J Nutr. 2024;154(9):2640-2654.</t>
  </si>
  <si>
    <t>Together these sources support blood glucose, blood lipids, BP, weight/BMI and waist circumference as important cardiometabolic/metabolic-health measures.</t>
  </si>
  <si>
    <t>Systematic review &amp; meta-analysis of controlled feeding trials</t>
  </si>
  <si>
    <t>No single authoritative framework defines these exact five items as the exhaustive five components of “metabolic health”; the claim remains broader/more definitive than the source framework.</t>
  </si>
  <si>
    <t>Ref 2 strongly supports lean fatty liver, but the wording “organs” is broader than liver alone. Broader evidence on ectopic fat is available.</t>
  </si>
  <si>
    <t>Keep Lilly-approved copy unchanged. Replace/add references with the three stronger sources. Log as residual MA wording risk rather than claiming the references prove a universal five-item definition.</t>
  </si>
  <si>
    <t>9</t>
  </si>
  <si>
    <t>R6 – Thomas et al., Nutr Res Rev 2012</t>
  </si>
  <si>
    <t>https://pubmed.ncbi.nlm.nih.gov/35766027/ ; https://pubmed.ncbi.nlm.nih.gov/30484738/ ; https://pubmed.ncbi.nlm.nih.gov/32020062/</t>
  </si>
  <si>
    <t>Direct evidence on protein added to carbohydrate-containing meals and acute postprandial glucose response.</t>
  </si>
  <si>
    <t>No material change required. Optional precision: “Fat can accumulate in and around organs, even in some people who are not overweight.”</t>
  </si>
  <si>
    <t>10.1016/j.tjnut.2024.07.011</t>
  </si>
  <si>
    <t>Add R6. Ref 2 may remain as additional fatty-liver-specific support.</t>
  </si>
  <si>
    <t>https://pubmed.ncbi.nlm.nih.gov/39019167/</t>
  </si>
  <si>
    <t>R9</t>
  </si>
  <si>
    <t>Zurbau A, et al. The effect of oat β-glucan on postprandial blood glucose and insulin responses: a systematic review and meta-analysis. Eur J Clin Nutr. 2021;75(11):1540-1554.</t>
  </si>
  <si>
    <t>103 trial comparisons; supports postprandial glucose benefit for a specific fibre class (oat β-glucan).</t>
  </si>
  <si>
    <t>p5 · Sleep</t>
  </si>
  <si>
    <t>10.1038/s41430-021-00875-9</t>
  </si>
  <si>
    <t>GREEN – Reference-only route sufficient</t>
  </si>
  <si>
    <t>Regularly getting too little or too much sleep is associated with a higher risk of type 2 diabetes.</t>
  </si>
  <si>
    <t>https://pubmed.ncbi.nlm.nih.gov/33608654/</t>
  </si>
  <si>
    <t>Ford ES, Li C, Sattar N. Diabetes Care. 2008;31:1898–1904.</t>
  </si>
  <si>
    <t>Ref 9 – Shan et al., Diabetes Care 2015</t>
  </si>
  <si>
    <t>Quantitative review of prospective evidence directly links metabolic syndrome/metabolic risk clustering with subsequent incident diabetes.</t>
  </si>
  <si>
    <t>R10</t>
  </si>
  <si>
    <t>Strong prospective-study meta-analysis with appropriately cautious associative wording.</t>
  </si>
  <si>
    <t>Minor construct difference remains between “metabolic health” and “metabolic syndrome”, but the direction and long-term risk statement are strongly supported.</t>
  </si>
  <si>
    <t>Ross R, et al. Waist circumference as a vital sign in clinical practice: a Consensus Statement from the IAS and ICCR Working Group on Visceral Obesity. Nat Rev Endocrinol. 2020;16(3):177-189.</t>
  </si>
  <si>
    <t>Retain current Ref 9</t>
  </si>
  <si>
    <t>International consensus statement</t>
  </si>
  <si>
    <t>Keep claim unchanged. Replace/add current citation with Ford et al. 2008.</t>
  </si>
  <si>
    <t>No action required.</t>
  </si>
  <si>
    <t>13, 14, 17</t>
  </si>
  <si>
    <t>No change</t>
  </si>
  <si>
    <t>Supports waist circumference as a marker of abdominal/visceral adiposity and its clinical relevance beyond BMI.</t>
  </si>
  <si>
    <t>10.1038/s41574-019-0310-7</t>
  </si>
  <si>
    <t>https://pubmed.ncbi.nlm.nih.gov/32020062/</t>
  </si>
  <si>
    <t>p5 · Activity / post-meal walk</t>
  </si>
  <si>
    <t>R11</t>
  </si>
  <si>
    <t>Breaking up long periods of sitting, for example with a short walk after eating, may support how the body handles blood sugar.</t>
  </si>
  <si>
    <t>World Health Organization. Waist circumference and waist-hip ratio: report of a WHO expert consultation. Geneva, 8-11 December 2008. Published 2011.</t>
  </si>
  <si>
    <t>Ref 8 – Quan et al., J Sport Health Sci 2021</t>
  </si>
  <si>
    <t>WHO expert consultation</t>
  </si>
  <si>
    <t>14</t>
  </si>
  <si>
    <t>Mottillo S, et al. J Am Coll Cardiol. 2010;56:1113–1132.</t>
  </si>
  <si>
    <t>The current meta-analysis supports breaking up prolonged sitting and lowering postprandial glycaemia. A post-meal exercise meta-analysis can be added if greater specificity is desired.</t>
  </si>
  <si>
    <t>Systematic review/meta-analysis of 87 studies and 951,083 participants directly supports the long-term cardiovascular-risk relationship.</t>
  </si>
  <si>
    <t>Authoritative source for a standard waist circumference measurement protocol.</t>
  </si>
  <si>
    <t>Retain Ref 8; optional R7 – Engeroff et al., Sports Med 2023</t>
  </si>
  <si>
    <t>Associative evidence, which is appropriately matched by the wording “linked with”.</t>
  </si>
  <si>
    <t>ISBN 9789241501491</t>
  </si>
  <si>
    <t>Keep claim unchanged. Replace/add current citation with Mottillo et al. 2010.</t>
  </si>
  <si>
    <t>https://www.who.int/publications/i/item/9789241501491</t>
  </si>
  <si>
    <t>Retain current citation. Add R7 only if the team wants direct post-meal activity substantiation.</t>
  </si>
  <si>
    <t>R12</t>
  </si>
  <si>
    <t>National Institute for Health and Care Excellence (NICE). NG246: Overweight and obesity management – identifying and assessing overweight, obesity and central adiposity.</t>
  </si>
  <si>
    <t>Clinical guideline</t>
  </si>
  <si>
    <t>15</t>
  </si>
  <si>
    <t>Recommends waist-to-height ratio in adults with BMI &lt;35 kg/m² and advises keeping waist below half of height.</t>
  </si>
  <si>
    <t>p6 · Look at the whole plate</t>
  </si>
  <si>
    <t>NG246</t>
  </si>
  <si>
    <t>“Including protein and fibre in meals is linked with a gentler rise in blood sugar after eating.”</t>
  </si>
  <si>
    <t>https://www.nice.org.uk/guidance/ng246/chapter/Identifying-and-assessing-overweight-obesity-and-central-adiposity</t>
  </si>
  <si>
    <t>Ref 7 – listed as Rebello et al., Nutrients 2017</t>
  </si>
  <si>
    <t>R13</t>
  </si>
  <si>
    <t>Jayedi A, et al. Adult weight gain and the risk of cardiovascular disease: a systematic review and dose-response meta-analysis of prospective cohort studies. Eur J Clin Nutr. 2020;74(9):1263-1275.</t>
  </si>
  <si>
    <t>Priority issue. The current bibliography attribution is incorrect, and the underlying small RCT does not adequately support the displayed claim. Better meta-analytic evidence exists, but fibre effects are strongest for specific fibre types.</t>
  </si>
  <si>
    <t>Systematic review &amp; dose-response meta-analysis</t>
  </si>
  <si>
    <t>R8 – Wolever et al., J Nutr 2024 + R9 – Zurbau et al., Eur J Clin Nutr 2021</t>
  </si>
  <si>
    <t>Ford et al., Diabetes Care 2008 + Mottillo et al., JACC 2010</t>
  </si>
  <si>
    <t>16</t>
  </si>
  <si>
    <t>Both sources provide strong prospective/meta-analytic evidence that adverse metabolic risk clustering predicts future diabetes and cardiovascular disease.</t>
  </si>
  <si>
    <t>“Including protein and certain types of fibre in meals may help moderate the rise in blood sugar after eating.”</t>
  </si>
  <si>
    <t>23 prospective cohorts / &gt;1.09 million participants; supports adult weight gain as a cardiovascular risk-relevant change.</t>
  </si>
  <si>
    <t>Remove current Ref 7 from this claim; correct the bibliography entry; add R8/R9; update the copy.</t>
  </si>
  <si>
    <t>The term “influence” can imply causation; these sources primarily establish association/risk prediction rather than proving that generic “poor metabolic health” causally drives each outcome.</t>
  </si>
  <si>
    <t>10.1038/s41430-020-0610-y</t>
  </si>
  <si>
    <t>Keep copy unchanged if client-locked. Replace Refs 1/3 for this claim with Ford + Mottillo. Record the residual causal-language caveat in the MA approval trail.</t>
  </si>
  <si>
    <t>https://pubmed.ncbi.nlm.nih.gov/32203236/</t>
  </si>
  <si>
    <t>https://pubmed.ncbi.nlm.nih.gov/18591398/ ; https://pubmed.ncbi.nlm.nih.gov/20863953/</t>
  </si>
  <si>
    <t>R14</t>
  </si>
  <si>
    <t>Burian EA, et al. The impact of obesity on chronic oedema/lymphoedema of the leg – an international multicenter cross-sectional study (LIMPRINT). Int J Obes (Lond). 2024;48(9):1238-1247.</t>
  </si>
  <si>
    <t>p6 · Stress</t>
  </si>
  <si>
    <t>International multicentre cross-sectional study</t>
  </si>
  <si>
    <t>“Long-term stress has been linked with changes in metabolic health.”</t>
  </si>
  <si>
    <t>18</t>
  </si>
  <si>
    <t>Ref 10 – Bergmann et al., Endocr Connect 2014</t>
  </si>
  <si>
    <t>Supports an association between higher body weight/obesity and severity of chronic lower-limb oedema.</t>
  </si>
  <si>
    <t>10.1038/s41366-024-01544-0</t>
  </si>
  <si>
    <t>Relevant systematic review; wording is appropriately cautious and does not overstate causality.</t>
  </si>
  <si>
    <t>Stefan N, Schick F, Häring HU. Cell Metab. 2017;26:292–300.</t>
  </si>
  <si>
    <t>https://pubmed.ncbi.nlm.nih.gov/38961152/</t>
  </si>
  <si>
    <t>Retain current Ref 10</t>
  </si>
  <si>
    <t>Review specifically describes metabolically unhealthy normal-weight phenotypes, including insulin-resistance-related abnormalities despite normal BMI/weight status.</t>
  </si>
  <si>
    <t>R15</t>
  </si>
  <si>
    <t>The paper addresses normal-weight phenotype rather than a longitudinal “no weight change” experiment, but it directly supports the consumer meaning of the statement.</t>
  </si>
  <si>
    <t>Zheng H, Chen C. Body mass index and risk of knee osteoarthritis: systematic review and meta-analysis of prospective studies. BMJ Open. 2015;5(12):e007568.</t>
  </si>
  <si>
    <t>Keep claim unchanged. Add Stefan et al. 2017 as the primary supporting citation; ADA may remain for insulin/glucose physiology.</t>
  </si>
  <si>
    <t>Systematic review &amp; meta-analysis of prospective studies</t>
  </si>
  <si>
    <t>19</t>
  </si>
  <si>
    <t>Supports excess body weight/obesity as a strong prospective risk factor for knee osteoarthritis.</t>
  </si>
  <si>
    <t>p6 · HbA1c</t>
  </si>
  <si>
    <t>10.1136/bmjopen-2014-007568</t>
  </si>
  <si>
    <t>https://pubmed.ncbi.nlm.nih.gov/26656979/</t>
  </si>
  <si>
    <t>R16</t>
  </si>
  <si>
    <t>“HbA1c reflects your average blood sugar over roughly the past three months.”</t>
  </si>
  <si>
    <t>Muzurović E, et al. Nonalcoholic Fatty Liver Disease and Cardiovascular Disease: a Review of Shared Cardiometabolic Risk Factors. Hypertension. 2022;79(7):1319-1326.</t>
  </si>
  <si>
    <t>Ref 5 – ADA Standards of Care 2026</t>
  </si>
  <si>
    <t>Thomas EL, et al. Nutr Res Rev. 2012;25:150–161 + retain Tang et al. 2023</t>
  </si>
  <si>
    <t>22</t>
  </si>
  <si>
    <t>Thomas et al. supports ectopic/internal fat in normal-weight individuals; Tang et al. provides specific support for lean fatty liver.</t>
  </si>
  <si>
    <t>Current, authoritative guideline evidence directly supports this statement.</t>
  </si>
  <si>
    <t>Supports shared risk factors linking fatty liver, obesity, hypertension, dyslipidaemia and type 2 diabetes.</t>
  </si>
  <si>
    <t>Retain current Ref 5</t>
  </si>
  <si>
    <t>The lay phrase “inside organs” is broader than any single organ-specific paper, so using both a general ectopic-fat review and lean-NAFLD evidence is preferable.</t>
  </si>
  <si>
    <t>10.1161/HYPERTENSIONAHA.122.17982</t>
  </si>
  <si>
    <t>Keep copy unchanged. Add Thomas et al. and retain Tang et al. as complementary evidence.</t>
  </si>
  <si>
    <t>https://pubmed.ncbi.nlm.nih.gov/35465684/</t>
  </si>
  <si>
    <t>https://pubmed.ncbi.nlm.nih.gov/22625426/ ; https://pubmed.ncbi.nlm.nih.gov/35863685/</t>
  </si>
  <si>
    <t>B. Existing Microsite References (as supplied)</t>
  </si>
  <si>
    <t>p7 · Blood pressure</t>
  </si>
  <si>
    <t>Current Ref #</t>
  </si>
  <si>
    <t>“Blood pressure can be high without any obvious symptoms.”</t>
  </si>
  <si>
    <t>Ref 6 – WHO Hypertension fact sheet</t>
  </si>
  <si>
    <t>Citation as supplied / normalized</t>
  </si>
  <si>
    <t>GREEN – Current reference already sufficient</t>
  </si>
  <si>
    <t>Retain Shan Z, et al. Diabetes Care. 2015;38:529–537.</t>
  </si>
  <si>
    <t>Directly supported by WHO; most people with hypertension may have no symptoms.</t>
  </si>
  <si>
    <t>Retain current Ref 6</t>
  </si>
  <si>
    <t>Prospective-study meta-analysis directly supports a U-shaped association between sleep duration and incident type 2 diabetes.</t>
  </si>
  <si>
    <t>No substantive residual mismatch.</t>
  </si>
  <si>
    <t>No change to copy or citation required.</t>
  </si>
  <si>
    <t>MA note</t>
  </si>
  <si>
    <t>https://pubmed.ncbi.nlm.nih.gov/25715415/</t>
  </si>
  <si>
    <t>p7 · Waist circumference</t>
  </si>
  <si>
    <t>Alberti KGMM, Eckel RH, Grundy SM, et al. Harmonizing the metabolic syndrome: a joint interim statement. Circulation. 2009;120(16):1640–1645.</t>
  </si>
  <si>
    <t>Waist circumference “shows where the body stores fat, which matters as well as how much.”</t>
  </si>
  <si>
    <t>10.1161/CIRCULATIONAHA.109.192644</t>
  </si>
  <si>
    <t>https://doi.org/10.1161/CIRCULATIONAHA.109.192644</t>
  </si>
  <si>
    <t>Ref 1 – Alberti et al. 2009</t>
  </si>
  <si>
    <t>GREEN – Current reference sufficient; optional strengthening</t>
  </si>
  <si>
    <t>Waist circumference is a practical proxy for central abdominal/visceral adiposity; it does not literally show where body fat is stored.</t>
  </si>
  <si>
    <t>Retain Quan et al. 2021; optionally add Engeroff et al., Sports Med 2023.</t>
  </si>
  <si>
    <t>R10 – Ross et al., Nat Rev Endocrinol 2020</t>
  </si>
  <si>
    <t>Quan directly supports breaking up prolonged sitting and postprandial glycaemia; Engeroff adds direct evidence on exercise timing after meals.</t>
  </si>
  <si>
    <t>Tang A, Ng CH, Phang PH, et al. Comparative burden of metabolic dysfunction in lean NAFLD vs non-lean NAFLD: a systematic review and meta-analysis. Clin Gastroenterol Hepatol. 2023;21(7):1750–1760.</t>
  </si>
  <si>
    <t>“Waist circumference helps indicate central abdominal fat and provides information that body weight or BMI alone may miss.”</t>
  </si>
  <si>
    <t>10.1016/j.cgh.2022.06.029</t>
  </si>
  <si>
    <t>No substantive residual mismatch because the wording uses cautious “may support”.</t>
  </si>
  <si>
    <t>Replace the wording and cite R10.</t>
  </si>
  <si>
    <t>https://doi.org/10.1016/j.cgh.2022.06.029</t>
  </si>
  <si>
    <t>Retain existing Ref 8. Add Engeroff et al. only if Marketing wants a more directly post-meal citation.</t>
  </si>
  <si>
    <t>https://pubmed.ncbi.nlm.nih.gov/33359636/ ; https://pubmed.ncbi.nlm.nih.gov/36715875/</t>
  </si>
  <si>
    <t>Rinella ME, Lazarus JV, Ratziu V, et al. A multisociety Delphi consensus statement on new fatty liver disease nomenclature. J Hepatol. 2023;79(6):1542–1556.</t>
  </si>
  <si>
    <t>10.1016/j.jhep.2023.06.003</t>
  </si>
  <si>
    <t>p8 · How waist circumference is measured</t>
  </si>
  <si>
    <t>https://doi.org/10.1016/j.jhep.2023.06.003</t>
  </si>
  <si>
    <t>“Place the tape around your waist at roughly navel level, against the skin.”</t>
  </si>
  <si>
    <t>No reference attached</t>
  </si>
  <si>
    <t>A reproducible measurement instruction should follow an accepted protocol. “Navel level” is not the preferred WHO method.</t>
  </si>
  <si>
    <t>American Diabetes Association Professional Practice Committee. Diagnosis and Classification of Diabetes: Standards of Care in Diabetes—2026. Diabetes Care. 2026;49(Suppl 1):S27–S49.</t>
  </si>
  <si>
    <t>AMBER – Strong reference package available; breadth of “fibre” remains</t>
  </si>
  <si>
    <t>10.2337/dc26-S002</t>
  </si>
  <si>
    <t>R11 – WHO Waist Circumference &amp; Waist–Hip Ratio Expert Consultation + R10 – Ross et al. 2020</t>
  </si>
  <si>
    <t>Wolever et al., J Nutr 2024 + Xie et al., Clin Nutr 2021 + Zurbau et al., Eur J Clin Nutr 2021</t>
  </si>
  <si>
    <t>https://doi.org/10.2337/dc26-S002</t>
  </si>
  <si>
    <t>Protein meta-analysis directly supports lower postprandial glucose in relevant settings. Soluble-fibre meta-analysis found significant reduction in 2-h postprandial glucose; β-glucan meta-analysis provides additional fibre-specific evidence.</t>
  </si>
  <si>
    <t>Effects vary materially by fibre type, meal context and population. Therefore the generic word “fibre” remains broader than the strongest evidence even with multiple references.</t>
  </si>
  <si>
    <t>“Place the tape midway between the bottom of your last rib and the top of your hip bone, and measure after breathing out normally.”</t>
  </si>
  <si>
    <t>American Diabetes Association Professional Practice Committee. Glycemic Goals, Hypoglycemia, and Hyperglycemic Crises: Standards of Care in Diabetes—2026. Diabetes Care. 2026;49(Suppl 1):S132–S149.</t>
  </si>
  <si>
    <t>Keep Lilly-approved copy unchanged. Remove the current incorrect Ref 7 from this claim and use Wolever + Xie + Zurbau as the evidence package. Log residual breadth caveat.</t>
  </si>
  <si>
    <t>Update both copy and illustration so the anatomical location is consistent. Add R11.</t>
  </si>
  <si>
    <t>10.2337/dc26-S006</t>
  </si>
  <si>
    <t>https://pubmed.ncbi.nlm.nih.gov/39019167/ ; https://pubmed.ncbi.nlm.nih.gov/33162192/ ; https://pubmed.ncbi.nlm.nih.gov/33608654/</t>
  </si>
  <si>
    <t>https://doi.org/10.2337/dc26-S006</t>
  </si>
  <si>
    <t>World Health Organization. Hypertension. Fact sheet, updated 25 September 2025.</t>
  </si>
  <si>
    <t>p9 · Waist-to-height rule</t>
  </si>
  <si>
    <t>“Waist size should ideally be less than half your height.”</t>
  </si>
  <si>
    <t>https://www.who.int/news-room/fact-sheets/detail/hypertension</t>
  </si>
  <si>
    <t>Retain Bergmann N, Gyntelberg F, Faber J. Endocr Connect. 2014.</t>
  </si>
  <si>
    <t>Systematic review of prospective cohort studies is directly relevant; the copy is deliberately non-causal.</t>
  </si>
  <si>
    <t>The rule is evidence-based but currently uncited and slightly too universal. NICE applies the waist-to-height approach particularly in adults with BMI below 35 kg/m².</t>
  </si>
  <si>
    <t>Evidence is heterogeneous, but the claim is correspondingly cautious.</t>
  </si>
  <si>
    <t>R12 – NICE NG246, Overweight and obesity management</t>
  </si>
  <si>
    <t>Microsite lists: Rebello CJ, Johnson WD, Martin CK, et al. Effects of higher dietary protein and fiber intakes at breakfast on postprandial glucose, insulin, and 24-h interstitial glucose in overweight adults. Nutrients. 2017;9(4):352.</t>
  </si>
  <si>
    <t>“For many adults, a useful rule of thumb is to keep your waist circumference below half your height.”</t>
  </si>
  <si>
    <t>https://pubmed.ncbi.nlm.nih.gov/24743684/</t>
  </si>
  <si>
    <t>10.3390/nu9040352</t>
  </si>
  <si>
    <t>Add R12 and update the wording. Keep the existing caution not to interpret one number in isolation.</t>
  </si>
  <si>
    <t>https://pubmed.ncbi.nlm.nih.gov/28368334/</t>
  </si>
  <si>
    <t>MANDATORY CORRECTION: DOI/PMID correspond to Amankwaah AF et al.; current attribution is incorrect, and the underlying small RCT does not adequately substantiate the microsite claim.</t>
  </si>
  <si>
    <t>Quan M, Xun P, Wu H, et al. Effects of interrupting prolonged sitting on postprandial glycemia and insulin responses: a network meta-analysis. J Sport Health Sci. 2021;10(4):419–429.</t>
  </si>
  <si>
    <t>10.1016/j.jshs.2020.12.006</t>
  </si>
  <si>
    <t>Retain ADA Standards of Care in Diabetes—2026, Glycemic Goals section.</t>
  </si>
  <si>
    <t>https://doi.org/10.1016/j.jshs.2020.12.006</t>
  </si>
  <si>
    <t>Authoritative current guideline directly supports HbA1c as reflecting average glycaemia over approximately 2–3 months.</t>
  </si>
  <si>
    <t>Shan Z, Ma H, Xie M, et al. Sleep duration and risk of type 2 diabetes: a meta-analysis of prospective studies. Diabetes Care. 2015;38(3):529–537.</t>
  </si>
  <si>
    <t>10.2337/dc14-2073</t>
  </si>
  <si>
    <t>p10 · Changes / weight gain</t>
  </si>
  <si>
    <t>https://doi.org/10.2337/dc14-2073</t>
  </si>
  <si>
    <t>Gradual weight gain (presented under “Signs you may notice”).</t>
  </si>
  <si>
    <t>Refs 1 + 13</t>
  </si>
  <si>
    <t>NO – Context + reference update required</t>
  </si>
  <si>
    <t>Bergmann N, Gyntelberg F, Faber J. The appraisal of chronic stress and the development of the metabolic syndrome: a systematic review of prospective cohort studies. Endocr Connect. 2014;3(2):R55–R80.</t>
  </si>
  <si>
    <t>Weight gain is a cardiometabolically relevant change, but it should not be positioned as a diagnostic symptom of generic metabolic dysfunction.</t>
  </si>
  <si>
    <t>10.1530/EC-14-0031</t>
  </si>
  <si>
    <t>R13 – Jayedi et al., Eur J Clin Nutr 2020</t>
  </si>
  <si>
    <t>Retain WHO Hypertension fact sheet.</t>
  </si>
  <si>
    <t>https://doi.org/10.1530/EC-14-0031</t>
  </si>
  <si>
    <t>Keep the tile “Gradual weight gain”. Change the section heading from “Signs you may notice” to “Changes worth tracking”.</t>
  </si>
  <si>
    <t>WHO explicitly states that most people with hypertension experience no symptoms.</t>
  </si>
  <si>
    <t>Keep the tile; update the shared section heading; add R13.</t>
  </si>
  <si>
    <t>Context + Ref</t>
  </si>
  <si>
    <t>Fritschi C, Quinn L. Fatigue in patients with diabetes: a review. J Psychosom Res. 2010;69(1):33–41.</t>
  </si>
  <si>
    <t>10.1016/j.jpsychores.2010.01.021</t>
  </si>
  <si>
    <t>https://doi.org/10.1016/j.jpsychores.2010.01.021</t>
  </si>
  <si>
    <t>p10 · Changes / waist</t>
  </si>
  <si>
    <t>Increasing waist circumference.</t>
  </si>
  <si>
    <t>Ref 13 – Ross et al., Nat Rev Endocrinol 2020</t>
  </si>
  <si>
    <t>Bernhardt V, Babb TG. Exertional dyspnoea in obesity. Eur Respir Rev. 2016;25(142):487–495.</t>
  </si>
  <si>
    <t>YES – Claim + reference acceptable; context edit only</t>
  </si>
  <si>
    <t>10.1183/16000617.0081-2016</t>
  </si>
  <si>
    <t>Strong evidence supports waist circumference as an important cardiometabolic marker. The issue is the surrounding symptom/sign framing, not this claim.</t>
  </si>
  <si>
    <t>https://doi.org/10.1183/16000617.0081-2016</t>
  </si>
  <si>
    <t>Retain current Ref 13</t>
  </si>
  <si>
    <t>Claim unchanged. Use the shared heading “Changes worth tracking”.</t>
  </si>
  <si>
    <t>Retain tile and citation; change the common section heading.</t>
  </si>
  <si>
    <t>Ross R, Neeland IJ, Yamashita S, et al. Waist circumference as a vital sign in clinical practice: a Consensus Statement. Nat Rev Endocrinol. 2020;16(3):177–189.</t>
  </si>
  <si>
    <t>Context only</t>
  </si>
  <si>
    <t>p10 · Changes / ankle swelling</t>
  </si>
  <si>
    <t>Swelling around the feet or ankles (presented as a metabolic-health sign).</t>
  </si>
  <si>
    <t>AMBER – Stronger references improve support; wording is colloquial</t>
  </si>
  <si>
    <t>Ref 14 – Trayes et al., Am Fam Physician 2013</t>
  </si>
  <si>
    <t>Ross et al., Nat Rev Endocrinol 2020 + Pinho et al., Arch Endocrinol Metab 2018</t>
  </si>
  <si>
    <t>NO – Reframing + reference alignment required</t>
  </si>
  <si>
    <t>Trayes KP, Studdiford JS, Pickle S, Tully AS. Edema: diagnosis and management. Am Fam Physician. 2013;88(2):102–110.</t>
  </si>
  <si>
    <t>Ross supports waist circumference as a clinical marker of abdominal/visceral adiposity; Pinho directly evaluates waist sites against CT-measured visceral and subcutaneous fat.</t>
  </si>
  <si>
    <t>The current paper is a differential-diagnosis review of oedema and does not establish ankle oedema as a generic metabolic-health manifestation. Evidence does support an obesity–chronic oedema association.</t>
  </si>
  <si>
    <t>Waist circumference is a proxy/indicator of central fat distribution; it does not literally image or “show” where fat is stored.</t>
  </si>
  <si>
    <t>R14 – Burian et al., Int J Obes 2024</t>
  </si>
  <si>
    <t>https://www.aafp.org/pubs/afp/issues/2013/0715/p102.html</t>
  </si>
  <si>
    <t>Keep copy unchanged if locked. Replace Ref 1 for this statement with Ross + Pinho. Record that the wording is consumer shorthand for a proxy measure.</t>
  </si>
  <si>
    <t>If retained: “Persistent swelling of the feet or ankles can have many causes. Higher body weight is associated with chronic lower-limb oedema.”</t>
  </si>
  <si>
    <t>https://pubmed.ncbi.nlm.nih.gov/32020062/ ; https://pubmed.ncbi.nlm.nih.gov/30304105/</t>
  </si>
  <si>
    <t>Do not retain ankle swelling as a stand-alone metabolic sign. Use the revised copy + R14, or move it into a general ‘discuss persistent changes with a doctor’ section.</t>
  </si>
  <si>
    <t>Zhuo Q, Yang W, Chen J, Wang Y. Metabolic syndrome meets osteoarthritis. Nat Rev Rheumatol. 2012;8(12):729–737.</t>
  </si>
  <si>
    <t>Reframe + Ref</t>
  </si>
  <si>
    <t>10.1038/nrrheum.2012.135</t>
  </si>
  <si>
    <t>https://doi.org/10.1038/nrrheum.2012.135</t>
  </si>
  <si>
    <t>p11 · Changes / knee pain</t>
  </si>
  <si>
    <t>Knee joint pain.</t>
  </si>
  <si>
    <t>Ref 15 – Zhuo et al., Nat Rev Rheumatol 2012</t>
  </si>
  <si>
    <t>NO – Reframing + reference update required</t>
  </si>
  <si>
    <t>The current review discusses a possible metabolic-osteoarthritis phenotype but does not validate knee pain as a symptom of metabolic dysfunction. Prospective evidence better supports excess body weight as a risk factor for knee osteoarthritis.</t>
  </si>
  <si>
    <t>R15 – Zheng &amp; Chen, BMJ Open 2015</t>
  </si>
  <si>
    <t>“Higher body weight is associated with a greater risk of knee osteoarthritis, which can cause knee pain.”</t>
  </si>
  <si>
    <t>Replace the implied metabolic-symptom relationship and cite R15.</t>
  </si>
  <si>
    <t>AMBER – Navel/umbilical measurement is defensible, but not the preferred WHO standard</t>
  </si>
  <si>
    <t>Brown et al., Clin Obes 2018 + Mason &amp; Katzmarzyk, Am J Cardiol 2009</t>
  </si>
  <si>
    <t>p11 · Changes / fatigue</t>
  </si>
  <si>
    <t>Both studies treat the umbilicus as a commonly used waist-measurement site. Brown found it intuitive/easy for self-measurement; Mason found broadly similar cardiometabolic associations across several sites.</t>
  </si>
  <si>
    <t>Fatigue, low energy or reduced stamina.</t>
  </si>
  <si>
    <t>Measurement site affects absolute waist values and prevalence classification, especially in women. WHO and several consensus protocols prefer the midpoint/iliac-crest approach, so an umbilical instruction should not be represented as the single universal standard.</t>
  </si>
  <si>
    <t>Ref 11 – Fritschi &amp; Quinn, J Psychosom Res 2010</t>
  </si>
  <si>
    <t>NO – Contextualisation required</t>
  </si>
  <si>
    <t>If the client-approved instruction must remain, add Brown + Mason citations and ensure all thresholds/risk interpretations on the site use the same measurement protocol. Log the protocol caveat.</t>
  </si>
  <si>
    <t>Ref 11 supports fatigue in people with diabetes, not fatigue as a generic marker of metabolic dysfunction. Fatigue is highly non-specific.</t>
  </si>
  <si>
    <t>https://pubmed.ncbi.nlm.nih.gov/29218787/ ; https://pubmed.ncbi.nlm.nih.gov/19539081/</t>
  </si>
  <si>
    <t>Retain Ref 11 only for a diabetes-specific statement</t>
  </si>
  <si>
    <t>“Fatigue or low energy can occur with conditions such as diabetes, but these symptoms are non-specific and can have many other causes.”</t>
  </si>
  <si>
    <t>Amend the copy. Do not represent fatigue as a stand-alone metabolic-health indicator.</t>
  </si>
  <si>
    <t>Copy / Context</t>
  </si>
  <si>
    <t>p11 · Changes / breathlessness</t>
  </si>
  <si>
    <t>NICE NG246 – Identifying and assessing overweight, obesity and central adiposity.</t>
  </si>
  <si>
    <t>Breathlessness during routine activities.</t>
  </si>
  <si>
    <t>NICE explicitly advises use of waist-to-height ratio and the practical message to keep waist circumference below half of height in relevant adults.</t>
  </si>
  <si>
    <t>Ref 12 – Bernhardt &amp; Babb, Eur Respir Rev 2016</t>
  </si>
  <si>
    <t>NICE applies this particularly in adults with BMI &lt;35 kg/m²; the microsite already cautions against interpreting one number alone.</t>
  </si>
  <si>
    <t>The citation supports exertional dyspnoea in obesity, not breathlessness as a general sign of metabolic dysfunction.</t>
  </si>
  <si>
    <t>Retain Ref 12 only for an obesity-specific statement</t>
  </si>
  <si>
    <t>“In people with obesity, breathlessness during activity can occur, although breathlessness can have many other possible causes.”</t>
  </si>
  <si>
    <t>Keep claim unchanged. Add NICE NG246 citation.</t>
  </si>
  <si>
    <t>Update the wording and retain the existing urgent-care warning for sudden/severe breathlessness or chest pain/fainting.</t>
  </si>
  <si>
    <t>p14 · Closing disease-linkage statement</t>
  </si>
  <si>
    <t>AMBER – Stronger reference supports risk relevance; symptom framing remains</t>
  </si>
  <si>
    <t>Jayedi A, et al. Eur J Clin Nutr. 2020;74:1263–1275.</t>
  </si>
  <si>
    <t>“Diabetes, high cholesterol, hypertension and fatty liver may seem like separate conditions, but they are often closely connected and influenced by many of the same underlying risk factors.”</t>
  </si>
  <si>
    <t>Dose-response meta-analysis of prospective cohorts supports adult weight gain as a clinically relevant predictor of adverse cardiovascular outcomes.</t>
  </si>
  <si>
    <t>The evidence establishes health-risk relevance, not that gradual weight gain is a diagnostic symptom of generic metabolic dysfunction.</t>
  </si>
  <si>
    <t>Keep the Lilly-approved tile/heading unchanged. Add Jayedi et al. as the primary citation and retain the existing disclaimer that these changes may have many causes.</t>
  </si>
  <si>
    <t>NO – Minor copy + reference addition required</t>
  </si>
  <si>
    <t>The broad concept is scientifically sound, but this is a substantive medical claim and should be referenced. “High cholesterol” is less precise than abnormal blood lipids/dyslipidaemia.</t>
  </si>
  <si>
    <t>R16 – Muzurović et al., Hypertension 2022</t>
  </si>
  <si>
    <t>“Diabetes, abnormal blood lipids, hypertension and fatty liver may seem like separate conditions, but they are often closely connected and influenced by many of the same underlying risk factors.”</t>
  </si>
  <si>
    <t>Add R16; replace “high cholesterol” with “abnormal blood lipids”.</t>
  </si>
  <si>
    <t>Retain Ross et al., Nat Rev Endocrinol 2020.</t>
  </si>
  <si>
    <t>International consensus supports waist circumference as a clinically useful marker of abdominal adiposity and cardiometabolic risk beyond BMI.</t>
  </si>
  <si>
    <t>Contextual “sign/symptom” framing is broader than the evidence, but the individual claim itself is strongly supported.</t>
  </si>
  <si>
    <t>No reference change required. Keep existing disclaimer/context language.</t>
  </si>
  <si>
    <t>p11–12 · Assessment module</t>
  </si>
  <si>
    <t>Module called “Risk assessment tool” while the page states that it provides no diagnosis, score or risk rating.</t>
  </si>
  <si>
    <t>No validation reference</t>
  </si>
  <si>
    <t>AMBER – Best available reference supports obesity/chronic oedema, not generic metabolic dysfunction</t>
  </si>
  <si>
    <t>This is a tool-validation and terminology issue rather than a missing-reference issue. “Risk assessment” implies estimation/classification of risk, while the microsite explicitly says no score or risk rating is generated.</t>
  </si>
  <si>
    <t>No citation can resolve the terminology alone</t>
  </si>
  <si>
    <t>Rename to “Metabolic health self-check” or “2-minute metabolic health check”. If “risk assessment” must be retained, the questionnaire and scoring logic require validation against an established risk model.</t>
  </si>
  <si>
    <t>Burian EA, et al. Int J Obes. 2024;48:1238–1247 (LIMPRINT) + retain Trayes et al. for differential diagnosis.</t>
  </si>
  <si>
    <t>Choose one route: (A) rename as an awareness/self-check tool; or (B) return the complete 8 questions, scoring algorithm and validation framework to Medical Affairs for formal review.</t>
  </si>
  <si>
    <t>Large multicentre study shows higher body weight/obesity is associated with more advanced chronic lower-limb oedema; Trayes establishes that oedema has multiple alternative causes.</t>
  </si>
  <si>
    <t>No source establishes ankle/foot swelling as a specific sign of “metabolic dysfunction” in general. Reference-only bolstering cannot fully close that inference.</t>
  </si>
  <si>
    <t>Structural</t>
  </si>
  <si>
    <t>If copy is locked, cite Burian + Trayes together and retain the microsite disclaimer that these changes can occur for many different reasons. Record residual MA risk.</t>
  </si>
  <si>
    <t>https://pubmed.ncbi.nlm.nih.gov/38961152/ ; https://www.aafp.org/pubs/afp/issues/2013/0715/p102.html</t>
  </si>
  <si>
    <t>AMBER – Strong obesity–knee OA evidence; generic metabolic framing remains broader</t>
  </si>
  <si>
    <t>Zheng H, Chen C. BMJ Open. 2015;5:e007568 + retain Zhuo et al. as mechanistic/background context.</t>
  </si>
  <si>
    <t>Prospective meta-analysis strongly supports excess body weight/obesity as a risk factor for knee osteoarthritis, which commonly produces knee pain.</t>
  </si>
  <si>
    <t>Metabolic syndrome itself is not consistently an independent predictor of overall knee OA after BMI adjustment; therefore knee pain is not a specific metabolic-health sign.</t>
  </si>
  <si>
    <t>Keep copy unchanged if locked. Add Zheng &amp; Chen as the primary evidence and retain Zhuo only as background. Log residual framing caveat.</t>
  </si>
  <si>
    <t>https://pubmed.ncbi.nlm.nih.gov/26656979/ ; https://pubmed.ncbi.nlm.nih.gov/33362213/</t>
  </si>
  <si>
    <t>Ref 11 – Fritschi &amp; Quinn 2010</t>
  </si>
  <si>
    <t>AMBER – Strong disease-specific evidence; generic metabolic framing remains broader</t>
  </si>
  <si>
    <t>Romadlon DS, Hasan F, Wiratama BS, Chiu HY. J Nurs Scholarsh. 2022;54:546–553 + Fritschi &amp; Quinn 2010</t>
  </si>
  <si>
    <t>Systematic review/meta-analysis found fatigue common in type 1 and type 2 diabetes; current review also supports fatigue in diabetes.</t>
  </si>
  <si>
    <t>Fatigue is highly non-specific and these studies do not validate fatigue as a general screening sign of metabolic dysfunction.</t>
  </si>
  <si>
    <t>Keep copy unchanged if locked. Upgrade to Romadlon et al. 2022 plus current Ref 11; retain the microsite’s explicit non-specificity disclaimer.</t>
  </si>
  <si>
    <t>https://pubmed.ncbi.nlm.nih.gov/34958178/ ; https://pubmed.ncbi.nlm.nih.gov/20630261/</t>
  </si>
  <si>
    <t>Ref 12 – Bernhardt &amp; Babb 2016</t>
  </si>
  <si>
    <t>AMBER – Strong obesity-specific evidence; generic metabolic framing remains broader</t>
  </si>
  <si>
    <t>Sandberg J. Curr Opin Support Palliat Care. 2026;20(2):63–70 + retain Bernhardt &amp; Babb 2016</t>
  </si>
  <si>
    <t>Recent review states that multiple large cohorts identify obesity as a strong independent predictor of exertional breathlessness; the existing review addresses mechanisms and differential considerations.</t>
  </si>
  <si>
    <t>Breathlessness is not specific to metabolic dysfunction and has important cardiac, pulmonary and other causes.</t>
  </si>
  <si>
    <t>Keep copy unchanged if locked. Add Sandberg 2026 and retain current Ref 12; preserve the existing urgent-care warning and non-specificity disclaimer.</t>
  </si>
  <si>
    <t>https://pubmed.ncbi.nlm.nih.gov/41800902/ ; https://pubmed.ncbi.nlm.nih.gov/27903669/</t>
  </si>
  <si>
    <t>Muzurović E, et al. Hypertension. 2022;79:1319–1326 + Alberti et al. 2009</t>
  </si>
  <si>
    <t>Review directly discusses shared cardiometabolic risk factors linking fatty liver, obesity, diabetes, hypertension and dyslipidaemia; metabolic syndrome consensus supports risk-factor clustering.</t>
  </si>
  <si>
    <t>The phrase “high cholesterol” is less technically precise than dyslipidaemia but remains broadly understandable and directionally supported.</t>
  </si>
  <si>
    <t>Keep claim unchanged. Add Muzurović et al. as the primary citation; Alberti may be added as supporting background.</t>
  </si>
  <si>
    <t>https://pubmed.ncbi.nlm.nih.gov/35465684/ ; https://pubmed.ncbi.nlm.nih.gov/19805654/</t>
  </si>
  <si>
    <t>RED – Reference-only route cannot close the MA gap</t>
  </si>
  <si>
    <t>No external citation can validate an unscored, unvalidated questionnaire as a formal risk-assessment instrument. A validated model would require its own specified questions/scoring and performance data.</t>
  </si>
  <si>
    <t>This is not a missing-reference problem; it is an internal terminology/validation inconsistency within the microsite.</t>
  </si>
  <si>
    <t>Even with disclaimers, an external reference cannot make the current tool itself validated if its questions/algorithm are not derived from and validated against that instrument.</t>
  </si>
  <si>
    <t>If client copy is absolutely locked, escalate this single item for explicit MA + Legal/Regulatory acceptance as a residual risk. Do not imply that adding a paper validates the tool.</t>
  </si>
  <si>
    <t>N/A – requires validation of the actual tool rather than literature citation</t>
  </si>
</sst>
</file>

<file path=xl/styles.xml><?xml version="1.0" encoding="utf-8"?>
<styleSheet xmlns="http://schemas.openxmlformats.org/spreadsheetml/2006/main" xmlns:x14ac="http://schemas.microsoft.com/office/spreadsheetml/2009/9/ac" xmlns:mc="http://schemas.openxmlformats.org/markup-compatibility/2006">
  <fonts count="20">
    <font>
      <sz val="11.0"/>
      <color rgb="FF000000"/>
      <name val="Carlito"/>
      <scheme val="minor"/>
    </font>
    <font>
      <b/>
      <sz val="18.0"/>
      <color rgb="FFFFFFFF"/>
      <name val="Carlito"/>
    </font>
    <font>
      <i/>
      <sz val="11.0"/>
      <color rgb="FF555555"/>
      <name val="Carlito"/>
    </font>
    <font>
      <b/>
      <sz val="11.0"/>
      <color rgb="FF163A5F"/>
      <name val="Carlito"/>
    </font>
    <font>
      <b/>
      <sz val="20.0"/>
      <color rgb="FF163A5F"/>
      <name val="Carlito"/>
    </font>
    <font>
      <b/>
      <sz val="20.0"/>
      <color rgb="FF2F6B3B"/>
      <name val="Carlito"/>
    </font>
    <font>
      <b/>
      <sz val="20.0"/>
      <color rgb="FF9C4A15"/>
      <name val="Carlito"/>
    </font>
    <font>
      <b/>
      <sz val="20.0"/>
      <color rgb="FF8B1A1A"/>
      <name val="Carlito"/>
    </font>
    <font>
      <b/>
      <sz val="12.0"/>
      <color rgb="FFFFFFFF"/>
      <name val="Carlito"/>
    </font>
    <font>
      <b/>
      <sz val="11.0"/>
      <color theme="1"/>
      <name val="Carlito"/>
    </font>
    <font>
      <sz val="11.0"/>
      <color theme="1"/>
      <name val="Carlito"/>
    </font>
    <font>
      <b/>
      <sz val="11.0"/>
      <color rgb="FF9C4A15"/>
      <name val="Carlito"/>
    </font>
    <font>
      <b/>
      <sz val="11.0"/>
      <color rgb="FFFFFFFF"/>
      <name val="Carlito"/>
    </font>
    <font>
      <b/>
      <sz val="18.0"/>
      <color rgb="FF163A5F"/>
      <name val="Carlito"/>
    </font>
    <font>
      <b/>
      <sz val="18.0"/>
      <color rgb="FF2F6B3B"/>
      <name val="Carlito"/>
    </font>
    <font>
      <b/>
      <sz val="18.0"/>
      <color rgb="FF8A5A00"/>
      <name val="Carlito"/>
    </font>
    <font>
      <b/>
      <sz val="18.0"/>
      <color rgb="FF8B1A1A"/>
      <name val="Carlito"/>
    </font>
    <font>
      <b/>
      <sz val="11.0"/>
      <color rgb="FF8A5A00"/>
      <name val="Carlito"/>
    </font>
    <font>
      <b/>
      <sz val="11.0"/>
      <color rgb="FF8B1A1A"/>
      <name val="Carlito"/>
    </font>
    <font>
      <color theme="1"/>
      <name val="Carlito"/>
      <scheme val="minor"/>
    </font>
  </fonts>
  <fills count="12">
    <fill>
      <patternFill patternType="none"/>
    </fill>
    <fill>
      <patternFill patternType="lightGray"/>
    </fill>
    <fill>
      <patternFill patternType="solid">
        <fgColor rgb="FF163A5F"/>
        <bgColor rgb="FF163A5F"/>
      </patternFill>
    </fill>
    <fill>
      <patternFill patternType="solid">
        <fgColor rgb="FFEEF5FB"/>
        <bgColor rgb="FFEEF5FB"/>
      </patternFill>
    </fill>
    <fill>
      <patternFill patternType="solid">
        <fgColor rgb="FFF2F2F2"/>
        <bgColor rgb="FFF2F2F2"/>
      </patternFill>
    </fill>
    <fill>
      <patternFill patternType="solid">
        <fgColor rgb="FFE2F0D9"/>
        <bgColor rgb="FFE2F0D9"/>
      </patternFill>
    </fill>
    <fill>
      <patternFill patternType="solid">
        <fgColor rgb="FFFCE4D6"/>
        <bgColor rgb="FFFCE4D6"/>
      </patternFill>
    </fill>
    <fill>
      <patternFill patternType="solid">
        <fgColor rgb="FFF4CCCC"/>
        <bgColor rgb="FFF4CCCC"/>
      </patternFill>
    </fill>
    <fill>
      <patternFill patternType="solid">
        <fgColor rgb="FFFFF2CC"/>
        <bgColor rgb="FFFFF2CC"/>
      </patternFill>
    </fill>
    <fill>
      <patternFill patternType="solid">
        <fgColor rgb="FFFFF9E6"/>
        <bgColor rgb="FFFFF9E6"/>
      </patternFill>
    </fill>
    <fill>
      <patternFill patternType="solid">
        <fgColor rgb="FF2F75B5"/>
        <bgColor rgb="FF2F75B5"/>
      </patternFill>
    </fill>
    <fill>
      <patternFill patternType="solid">
        <fgColor rgb="FF70AD47"/>
        <bgColor rgb="FF70AD47"/>
      </patternFill>
    </fill>
  </fills>
  <borders count="1">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2" fontId="1" numFmtId="0" xfId="0" applyAlignment="1" applyFill="1" applyFont="1">
      <alignment shrinkToFit="0" vertical="center" wrapText="1"/>
    </xf>
    <xf borderId="0" fillId="3" fontId="2" numFmtId="0" xfId="0" applyAlignment="1" applyFill="1" applyFont="1">
      <alignment shrinkToFit="0" wrapText="1"/>
    </xf>
    <xf borderId="0" fillId="4" fontId="3" numFmtId="0" xfId="0" applyAlignment="1" applyFill="1" applyFont="1">
      <alignment horizontal="center" vertical="center"/>
    </xf>
    <xf borderId="0" fillId="3" fontId="4" numFmtId="0" xfId="0" applyAlignment="1" applyFill="1" applyFont="1">
      <alignment horizontal="center" vertical="center"/>
    </xf>
    <xf borderId="0" fillId="5" fontId="5" numFmtId="0" xfId="0" applyAlignment="1" applyFill="1" applyFont="1">
      <alignment horizontal="center" vertical="center"/>
    </xf>
    <xf borderId="0" fillId="6" fontId="6" numFmtId="0" xfId="0" applyAlignment="1" applyFill="1" applyFont="1">
      <alignment horizontal="center" vertical="center"/>
    </xf>
    <xf borderId="0" fillId="7" fontId="7" numFmtId="0" xfId="0" applyAlignment="1" applyFill="1" applyFont="1">
      <alignment horizontal="center" vertical="center"/>
    </xf>
    <xf borderId="0" fillId="2" fontId="8" numFmtId="0" xfId="0" applyFill="1" applyFont="1"/>
    <xf borderId="0" fillId="0" fontId="9" numFmtId="0" xfId="0" applyAlignment="1" applyFont="1">
      <alignment shrinkToFit="0" wrapText="1"/>
    </xf>
    <xf borderId="0" fillId="0" fontId="10" numFmtId="0" xfId="0" applyAlignment="1" applyFont="1">
      <alignment shrinkToFit="0" wrapText="1"/>
    </xf>
    <xf borderId="0" fillId="0" fontId="3" numFmtId="0" xfId="0" applyAlignment="1" applyFont="1">
      <alignment horizontal="center"/>
    </xf>
    <xf borderId="0" fillId="8" fontId="11" numFmtId="0" xfId="0" applyFill="1" applyFont="1"/>
    <xf borderId="0" fillId="9" fontId="10" numFmtId="0" xfId="0" applyAlignment="1" applyFill="1" applyFont="1">
      <alignment shrinkToFit="0" wrapText="1"/>
    </xf>
    <xf borderId="0" fillId="2" fontId="1" numFmtId="0" xfId="0" applyAlignment="1" applyFill="1" applyFont="1">
      <alignment vertical="center"/>
    </xf>
    <xf borderId="0" fillId="3" fontId="2" numFmtId="0" xfId="0" applyAlignment="1" applyFill="1" applyFont="1">
      <alignment shrinkToFit="0" vertical="center" wrapText="1"/>
    </xf>
    <xf borderId="0" fillId="3" fontId="2" numFmtId="0" xfId="0" applyFill="1" applyFont="1"/>
    <xf borderId="0" fillId="4" fontId="3" numFmtId="0" xfId="0" applyAlignment="1" applyFill="1" applyFont="1">
      <alignment horizontal="center" shrinkToFit="0" vertical="center" wrapText="1"/>
    </xf>
    <xf borderId="0" fillId="2" fontId="12" numFmtId="0" xfId="0" applyAlignment="1" applyFill="1" applyFont="1">
      <alignment horizontal="center" readingOrder="0" shrinkToFit="0" vertical="center" wrapText="1"/>
    </xf>
    <xf borderId="0" fillId="10" fontId="12" numFmtId="0" xfId="0" applyFill="1" applyFont="1"/>
    <xf borderId="0" fillId="3" fontId="13" numFmtId="0" xfId="0" applyAlignment="1" applyFill="1" applyFont="1">
      <alignment horizontal="center" vertical="center"/>
    </xf>
    <xf borderId="0" fillId="0" fontId="10" numFmtId="0" xfId="0" applyAlignment="1" applyFont="1">
      <alignment horizontal="center" shrinkToFit="0" vertical="top" wrapText="1"/>
    </xf>
    <xf borderId="0" fillId="0" fontId="10" numFmtId="0" xfId="0" applyAlignment="1" applyFont="1">
      <alignment shrinkToFit="0" vertical="top" wrapText="1"/>
    </xf>
    <xf borderId="0" fillId="5" fontId="14" numFmtId="0" xfId="0" applyAlignment="1" applyFill="1" applyFont="1">
      <alignment horizontal="center" vertical="center"/>
    </xf>
    <xf borderId="0" fillId="8" fontId="15" numFmtId="0" xfId="0" applyAlignment="1" applyFill="1" applyFont="1">
      <alignment horizontal="center" vertical="center"/>
    </xf>
    <xf borderId="0" fillId="7" fontId="16" numFmtId="0" xfId="0" applyAlignment="1" applyFill="1" applyFont="1">
      <alignment horizontal="center" vertical="center"/>
    </xf>
    <xf borderId="0" fillId="9" fontId="17" numFmtId="0" xfId="0" applyAlignment="1" applyFill="1" applyFont="1">
      <alignment shrinkToFit="0" vertical="center" wrapText="1"/>
    </xf>
    <xf borderId="0" fillId="11" fontId="12" numFmtId="0" xfId="0" applyFill="1" applyFont="1"/>
    <xf borderId="0" fillId="7" fontId="18" numFmtId="0" xfId="0" applyAlignment="1" applyFill="1" applyFont="1">
      <alignment shrinkToFit="0" vertical="top" wrapText="1"/>
    </xf>
    <xf borderId="0" fillId="8" fontId="10" numFmtId="0" xfId="0" applyAlignment="1" applyFill="1" applyFont="1">
      <alignment horizontal="center" shrinkToFit="0" vertical="top" wrapText="1"/>
    </xf>
    <xf borderId="0" fillId="8" fontId="10" numFmtId="0" xfId="0" applyAlignment="1" applyFill="1" applyFont="1">
      <alignment shrinkToFit="0" vertical="top" wrapText="1"/>
    </xf>
    <xf borderId="0" fillId="8" fontId="19" numFmtId="0" xfId="0" applyFill="1" applyFont="1"/>
  </cellXfs>
  <cellStyles count="1">
    <cellStyle xfId="0" name="Normal" builtinId="0"/>
  </cellStyles>
  <dxfs count="11">
    <dxf>
      <font/>
      <fill>
        <patternFill patternType="none"/>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
      <border>
        <left style="thin">
          <color theme="4"/>
        </left>
        <right style="thin">
          <color theme="4"/>
        </right>
        <top style="thin">
          <color theme="4"/>
        </top>
        <bottom style="thin">
          <color theme="4"/>
        </bottom>
        <vertical style="thin">
          <color rgb="FFD4D4D4"/>
        </vertical>
        <horizontal style="thin">
          <color rgb="FFD4D4D4"/>
        </horizontal>
      </border>
    </dxf>
    <dxf>
      <font>
        <b/>
        <color rgb="FF2F6B3B"/>
      </font>
      <fill>
        <patternFill patternType="solid">
          <fgColor rgb="FFE2F0D9"/>
          <bgColor rgb="FFE2F0D9"/>
        </patternFill>
      </fill>
      <border/>
    </dxf>
    <dxf>
      <font>
        <b/>
        <color rgb="FF163A5F"/>
      </font>
      <fill>
        <patternFill patternType="solid">
          <fgColor rgb="FFDCEAF7"/>
          <bgColor rgb="FFDCEAF7"/>
        </patternFill>
      </fill>
      <border/>
    </dxf>
    <dxf>
      <font>
        <b/>
        <color rgb="FF9C4A15"/>
      </font>
      <fill>
        <patternFill patternType="solid">
          <fgColor rgb="FFFCE4D6"/>
          <bgColor rgb="FFFCE4D6"/>
        </patternFill>
      </fill>
      <border/>
    </dxf>
    <dxf>
      <font>
        <b/>
        <color rgb="FF8B1A1A"/>
      </font>
      <fill>
        <patternFill patternType="solid">
          <fgColor rgb="FFF4CCCC"/>
          <bgColor rgb="FFF4CCCC"/>
        </patternFill>
      </fill>
      <border/>
    </dxf>
    <dxf>
      <font>
        <b/>
        <color rgb="FF8A5A00"/>
      </font>
      <fill>
        <patternFill patternType="solid">
          <fgColor rgb="FFFFF2CC"/>
          <bgColor rgb="FFFFF2CC"/>
        </patternFill>
      </fill>
      <border/>
    </dxf>
    <dxf>
      <font>
        <b/>
        <color rgb="FF9C4A15"/>
      </font>
      <fill>
        <patternFill patternType="solid">
          <fgColor rgb="FFFFF2CC"/>
          <bgColor rgb="FFFFF2CC"/>
        </patternFill>
      </fill>
      <border/>
    </dxf>
  </dxfs>
  <tableStyles count="4">
    <tableStyle count="4" pivot="0" name="MA Review Tracker-style">
      <tableStyleElement dxfId="1" type="headerRow"/>
      <tableStyleElement dxfId="2" type="firstRowStripe"/>
      <tableStyleElement dxfId="3" type="secondRowStripe"/>
      <tableStyleElement dxfId="4" size="0" type="wholeTable"/>
    </tableStyle>
    <tableStyle count="4" pivot="0" name="Reference Library-style">
      <tableStyleElement dxfId="1" type="headerRow"/>
      <tableStyleElement dxfId="2" type="firstRowStripe"/>
      <tableStyleElement dxfId="3" type="secondRowStripe"/>
      <tableStyleElement dxfId="4" size="0" type="wholeTable"/>
    </tableStyle>
    <tableStyle count="4" pivot="0" name="Reference-Only Fallback-style">
      <tableStyleElement dxfId="1" type="headerRow"/>
      <tableStyleElement dxfId="2" type="firstRowStripe"/>
      <tableStyleElement dxfId="3" type="secondRowStripe"/>
      <tableStyleElement dxfId="4" size="0" type="wholeTable"/>
    </tableStyle>
    <tableStyle count="4" pivot="0" name="Reference Library-style 2">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5:K28" displayName="MAClaimsTable" name="MAClaimsTable" id="2">
  <tableColumns count="11">
    <tableColumn name="Claim ID" id="1"/>
    <tableColumn name="Microsite page / section" id="2"/>
    <tableColumn name="Existing marketing claim" id="3"/>
    <tableColumn name="Current reference(s)" id="4"/>
    <tableColumn name="MA decision on existing claim + reference" id="5"/>
    <tableColumn name="MA assessment of current evidence" id="6"/>
    <tableColumn name="Better evidence / reference to use" id="7"/>
    <tableColumn name="Required marketing wording" id="8"/>
    <tableColumn name="Marketing / Intern action" id="9"/>
    <tableColumn name="Action type" id="10"/>
    <tableColumn name="Execution Status" id="11"/>
  </tableColumns>
  <tableStyleInfo name="MA Review Tracker-style" showColumnStripes="0" showFirstColumn="1" showLastColumn="1" showRowStripes="1"/>
</table>
</file>

<file path=xl/tables/table2.xml><?xml version="1.0" encoding="utf-8"?>
<table xmlns="http://schemas.openxmlformats.org/spreadsheetml/2006/main" ref="A6:G22" displayName="RecommendedRefsTable" name="RecommendedRefsTable" id="3">
  <tableColumns count="7">
    <tableColumn name="Code" id="1"/>
    <tableColumn name="Full citation" id="2"/>
    <tableColumn name="Evidence type" id="3"/>
    <tableColumn name="Claim IDs" id="4"/>
    <tableColumn name="Why this source is a better fit" id="5"/>
    <tableColumn name="DOI / ID" id="6"/>
    <tableColumn name="Source URL" id="7"/>
  </tableColumns>
  <tableStyleInfo name="Reference Library-style" showColumnStripes="0" showFirstColumn="1" showLastColumn="1" showRowStripes="1"/>
</table>
</file>

<file path=xl/tables/table3.xml><?xml version="1.0" encoding="utf-8"?>
<table xmlns="http://schemas.openxmlformats.org/spreadsheetml/2006/main" ref="A25:E40" displayName="ExistingRefsTable" name="ExistingRefsTable" id="4">
  <tableColumns count="5">
    <tableColumn name="Current Ref #" id="1"/>
    <tableColumn name="Citation as supplied / normalized" id="2"/>
    <tableColumn name="DOI / ID" id="3"/>
    <tableColumn name="Source URL" id="4"/>
    <tableColumn name="MA note" id="5"/>
  </tableColumns>
  <tableStyleInfo name="Reference Library-style 2" showColumnStripes="0" showFirstColumn="1" showLastColumn="1" showRowStripes="1"/>
</table>
</file>

<file path=xl/tables/table4.xml><?xml version="1.0" encoding="utf-8"?>
<table xmlns="http://schemas.openxmlformats.org/spreadsheetml/2006/main" ref="A11:K34" displayName="ReferenceOnlyFallbackTable" name="ReferenceOnlyFallbackTable" id="1">
  <tableColumns count="11">
    <tableColumn name="Claim ID" id="1"/>
    <tableColumn name="Page / section" id="2"/>
    <tableColumn name="Existing Lilly-approved claim (LOCKED)" id="3"/>
    <tableColumn name="Current reference(s)" id="4"/>
    <tableColumn name="Reference-only MA status" id="5"/>
    <tableColumn name="Strongest reference(s) if copy cannot change" id="6"/>
    <tableColumn name="What the evidence supports" id="7"/>
    <tableColumn name="Residual MA caveat with exact wording" id="8"/>
    <tableColumn name="Marketing / Intern action – reference-only scenario" id="9"/>
    <tableColumn name="Source URL(s)" id="10"/>
    <tableColumn name="Execution Status" id="11"/>
  </tableColumns>
  <tableStyleInfo name="Reference-Only Fallback-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4" Type="http://schemas.openxmlformats.org/officeDocument/2006/relationships/table" Target="../tables/table2.xml"/><Relationship Id="rId5"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5.25"/>
    <col customWidth="1" min="2" max="2" width="46.0"/>
    <col customWidth="1" min="3" max="3" width="8.0"/>
    <col customWidth="1" min="4" max="4" width="20.0"/>
    <col customWidth="1" min="5" max="5" width="8.0"/>
    <col customWidth="1" min="6" max="6" width="20.0"/>
    <col customWidth="1" min="7" max="7" width="8.0"/>
  </cols>
  <sheetData>
    <row r="1">
      <c r="A1" s="1" t="s">
        <v>0</v>
      </c>
    </row>
    <row r="3">
      <c r="A3" s="2" t="s">
        <v>1</v>
      </c>
    </row>
    <row r="5">
      <c r="A5" s="3" t="s">
        <v>2</v>
      </c>
      <c r="C5" s="3" t="s">
        <v>3</v>
      </c>
      <c r="E5" s="3" t="s">
        <v>4</v>
      </c>
      <c r="G5" s="3" t="s">
        <v>5</v>
      </c>
    </row>
    <row r="6">
      <c r="A6" s="4">
        <f>COUNTA('MA Review Tracker'!A6:A28)</f>
        <v>23</v>
      </c>
      <c r="C6" s="5">
        <f>COUNTIF('MA Review Tracker'!J6:J28,"No change")+COUNTIF('MA Review Tracker'!J6:J28,"Context only")</f>
        <v>6</v>
      </c>
      <c r="E6" s="6">
        <f>COUNTIF('MA Review Tracker'!J6:J28,"Ref only")+COUNTIF('MA Review Tracker'!J6:J28,"Copy + Ref")+COUNTIF('MA Review Tracker'!J6:J28,"Context + Ref")+COUNTIF('MA Review Tracker'!J6:J28,"Copy / Context")</f>
        <v>14</v>
      </c>
      <c r="G6" s="7">
        <f>COUNTIF('MA Review Tracker'!J6:J28,"Reframe + Ref")+COUNTIF('MA Review Tracker'!J6:J28,"Structural")</f>
        <v>3</v>
      </c>
    </row>
    <row r="9">
      <c r="A9" s="8" t="s">
        <v>6</v>
      </c>
    </row>
    <row r="10">
      <c r="A10" s="9" t="s">
        <v>7</v>
      </c>
      <c r="B10" s="10" t="s">
        <v>8</v>
      </c>
    </row>
    <row r="11">
      <c r="A11" s="9" t="s">
        <v>9</v>
      </c>
      <c r="B11" s="10" t="s">
        <v>10</v>
      </c>
    </row>
    <row r="12">
      <c r="A12" s="9" t="s">
        <v>11</v>
      </c>
      <c r="B12" s="10" t="s">
        <v>12</v>
      </c>
    </row>
    <row r="13">
      <c r="A13" s="9" t="s">
        <v>13</v>
      </c>
      <c r="B13" s="10" t="s">
        <v>14</v>
      </c>
    </row>
    <row r="15">
      <c r="A15" s="8" t="s">
        <v>15</v>
      </c>
    </row>
    <row r="16">
      <c r="A16" s="11" t="s">
        <v>16</v>
      </c>
      <c r="B16" s="10" t="s">
        <v>17</v>
      </c>
    </row>
    <row r="17">
      <c r="A17" s="11" t="s">
        <v>18</v>
      </c>
      <c r="B17" s="10" t="s">
        <v>19</v>
      </c>
    </row>
    <row r="18">
      <c r="A18" s="11" t="s">
        <v>20</v>
      </c>
      <c r="B18" s="10" t="s">
        <v>21</v>
      </c>
    </row>
    <row r="19">
      <c r="A19" s="11" t="s">
        <v>22</v>
      </c>
      <c r="B19" s="10" t="s">
        <v>23</v>
      </c>
    </row>
    <row r="20">
      <c r="A20" s="11" t="s">
        <v>24</v>
      </c>
      <c r="B20" s="10" t="s">
        <v>25</v>
      </c>
    </row>
    <row r="21" ht="15.75" customHeight="1"/>
    <row r="22" ht="15.75" customHeight="1">
      <c r="A22" s="12" t="s">
        <v>26</v>
      </c>
    </row>
    <row r="23" ht="15.75" customHeight="1">
      <c r="A23" s="13" t="s">
        <v>27</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E6:F7"/>
    <mergeCell ref="G6:G7"/>
    <mergeCell ref="A9:G9"/>
    <mergeCell ref="A15:G15"/>
    <mergeCell ref="A22:G22"/>
    <mergeCell ref="A23:G24"/>
    <mergeCell ref="A1:G2"/>
    <mergeCell ref="A3:G3"/>
    <mergeCell ref="A5:B5"/>
    <mergeCell ref="C5:D5"/>
    <mergeCell ref="E5:F5"/>
    <mergeCell ref="A6:B7"/>
    <mergeCell ref="C6:D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0"/>
    <col customWidth="1" min="2" max="2" width="22.0"/>
    <col customWidth="1" min="3" max="3" width="46.0"/>
    <col customWidth="1" min="4" max="4" width="30.0"/>
    <col customWidth="1" min="5" max="5" width="34.0"/>
    <col customWidth="1" min="6" max="6" width="52.0"/>
    <col customWidth="1" min="7" max="7" width="46.0"/>
    <col customWidth="1" min="8" max="8" width="50.0"/>
    <col customWidth="1" min="9" max="9" width="46.0"/>
    <col customWidth="1" min="10" max="10" width="17.0"/>
    <col customWidth="1" min="11" max="11" width="22.0"/>
  </cols>
  <sheetData>
    <row r="1">
      <c r="A1" s="14" t="s">
        <v>29</v>
      </c>
    </row>
    <row r="3">
      <c r="A3" s="16" t="s">
        <v>31</v>
      </c>
    </row>
    <row r="5" ht="36.0" customHeight="1">
      <c r="A5" s="18" t="s">
        <v>32</v>
      </c>
      <c r="B5" s="18" t="s">
        <v>38</v>
      </c>
      <c r="C5" s="18" t="s">
        <v>40</v>
      </c>
      <c r="D5" s="18" t="s">
        <v>41</v>
      </c>
      <c r="E5" s="18" t="s">
        <v>42</v>
      </c>
      <c r="F5" s="18" t="s">
        <v>43</v>
      </c>
      <c r="G5" s="18" t="s">
        <v>44</v>
      </c>
      <c r="H5" s="18" t="s">
        <v>46</v>
      </c>
      <c r="I5" s="18" t="s">
        <v>47</v>
      </c>
      <c r="J5" s="18" t="s">
        <v>48</v>
      </c>
      <c r="K5" s="18" t="s">
        <v>49</v>
      </c>
    </row>
    <row r="6" ht="85.5" customHeight="1">
      <c r="A6" s="21">
        <v>1.0</v>
      </c>
      <c r="B6" s="22" t="s">
        <v>52</v>
      </c>
      <c r="C6" s="22" t="s">
        <v>54</v>
      </c>
      <c r="D6" s="22" t="s">
        <v>56</v>
      </c>
      <c r="E6" s="22" t="s">
        <v>11</v>
      </c>
      <c r="F6" s="22" t="s">
        <v>58</v>
      </c>
      <c r="G6" s="22" t="s">
        <v>60</v>
      </c>
      <c r="H6" s="22" t="s">
        <v>61</v>
      </c>
      <c r="I6" s="22" t="s">
        <v>64</v>
      </c>
      <c r="J6" s="21" t="s">
        <v>66</v>
      </c>
      <c r="K6" s="21" t="s">
        <v>74</v>
      </c>
    </row>
    <row r="7" ht="85.5" customHeight="1">
      <c r="A7" s="21">
        <v>2.0</v>
      </c>
      <c r="B7" s="22" t="s">
        <v>79</v>
      </c>
      <c r="C7" s="22" t="s">
        <v>81</v>
      </c>
      <c r="D7" s="22" t="s">
        <v>56</v>
      </c>
      <c r="E7" s="22" t="s">
        <v>9</v>
      </c>
      <c r="F7" s="22" t="s">
        <v>85</v>
      </c>
      <c r="G7" s="22" t="s">
        <v>86</v>
      </c>
      <c r="H7" s="22" t="s">
        <v>88</v>
      </c>
      <c r="I7" s="22" t="s">
        <v>89</v>
      </c>
      <c r="J7" s="21" t="s">
        <v>91</v>
      </c>
      <c r="K7" s="21" t="s">
        <v>74</v>
      </c>
    </row>
    <row r="8" ht="85.5" customHeight="1">
      <c r="A8" s="21">
        <v>3.0</v>
      </c>
      <c r="B8" s="22" t="s">
        <v>79</v>
      </c>
      <c r="C8" s="22" t="s">
        <v>95</v>
      </c>
      <c r="D8" s="22" t="s">
        <v>56</v>
      </c>
      <c r="E8" s="22" t="s">
        <v>9</v>
      </c>
      <c r="F8" s="22" t="s">
        <v>98</v>
      </c>
      <c r="G8" s="22" t="s">
        <v>100</v>
      </c>
      <c r="H8" s="22" t="s">
        <v>88</v>
      </c>
      <c r="I8" s="22" t="s">
        <v>102</v>
      </c>
      <c r="J8" s="21" t="s">
        <v>91</v>
      </c>
      <c r="K8" s="21" t="s">
        <v>74</v>
      </c>
    </row>
    <row r="9" ht="85.5" customHeight="1">
      <c r="A9" s="21">
        <v>4.0</v>
      </c>
      <c r="B9" s="22" t="s">
        <v>105</v>
      </c>
      <c r="C9" s="22" t="s">
        <v>107</v>
      </c>
      <c r="D9" s="22" t="s">
        <v>109</v>
      </c>
      <c r="E9" s="22" t="s">
        <v>11</v>
      </c>
      <c r="F9" s="22" t="s">
        <v>112</v>
      </c>
      <c r="G9" s="22" t="s">
        <v>113</v>
      </c>
      <c r="H9" s="22" t="s">
        <v>115</v>
      </c>
      <c r="I9" s="22" t="s">
        <v>118</v>
      </c>
      <c r="J9" s="21" t="s">
        <v>66</v>
      </c>
      <c r="K9" s="21" t="s">
        <v>74</v>
      </c>
    </row>
    <row r="10" ht="85.5" customHeight="1">
      <c r="A10" s="21">
        <v>5.0</v>
      </c>
      <c r="B10" s="22" t="s">
        <v>124</v>
      </c>
      <c r="C10" s="22" t="s">
        <v>127</v>
      </c>
      <c r="D10" s="22" t="s">
        <v>130</v>
      </c>
      <c r="E10" s="22" t="s">
        <v>11</v>
      </c>
      <c r="F10" s="22" t="s">
        <v>133</v>
      </c>
      <c r="G10" s="22" t="s">
        <v>136</v>
      </c>
      <c r="H10" s="22" t="s">
        <v>138</v>
      </c>
      <c r="I10" s="22" t="s">
        <v>140</v>
      </c>
      <c r="J10" s="21" t="s">
        <v>66</v>
      </c>
      <c r="K10" s="21" t="s">
        <v>74</v>
      </c>
    </row>
    <row r="11" ht="85.5" customHeight="1">
      <c r="A11" s="21">
        <v>6.0</v>
      </c>
      <c r="B11" s="22" t="s">
        <v>144</v>
      </c>
      <c r="C11" s="22" t="s">
        <v>146</v>
      </c>
      <c r="D11" s="22" t="s">
        <v>148</v>
      </c>
      <c r="E11" s="22" t="s">
        <v>9</v>
      </c>
      <c r="F11" s="22" t="s">
        <v>154</v>
      </c>
      <c r="G11" s="22" t="s">
        <v>157</v>
      </c>
      <c r="H11" s="22" t="s">
        <v>160</v>
      </c>
      <c r="I11" s="22" t="s">
        <v>162</v>
      </c>
      <c r="J11" s="21" t="s">
        <v>91</v>
      </c>
      <c r="K11" s="21" t="s">
        <v>74</v>
      </c>
    </row>
    <row r="12" ht="85.5" customHeight="1">
      <c r="A12" s="21">
        <v>7.0</v>
      </c>
      <c r="B12" s="22" t="s">
        <v>167</v>
      </c>
      <c r="C12" s="22" t="s">
        <v>170</v>
      </c>
      <c r="D12" s="22" t="s">
        <v>173</v>
      </c>
      <c r="E12" s="22" t="s">
        <v>7</v>
      </c>
      <c r="F12" s="22" t="s">
        <v>176</v>
      </c>
      <c r="G12" s="22" t="s">
        <v>179</v>
      </c>
      <c r="H12" s="22" t="s">
        <v>88</v>
      </c>
      <c r="I12" s="22" t="s">
        <v>182</v>
      </c>
      <c r="J12" s="21" t="s">
        <v>184</v>
      </c>
      <c r="K12" s="21" t="s">
        <v>74</v>
      </c>
    </row>
    <row r="13" ht="85.5" customHeight="1">
      <c r="A13" s="21">
        <v>8.0</v>
      </c>
      <c r="B13" s="22" t="s">
        <v>188</v>
      </c>
      <c r="C13" s="22" t="s">
        <v>190</v>
      </c>
      <c r="D13" s="22" t="s">
        <v>192</v>
      </c>
      <c r="E13" s="22" t="s">
        <v>7</v>
      </c>
      <c r="F13" s="22" t="s">
        <v>196</v>
      </c>
      <c r="G13" s="22" t="s">
        <v>199</v>
      </c>
      <c r="H13" s="22" t="s">
        <v>88</v>
      </c>
      <c r="I13" s="22" t="s">
        <v>204</v>
      </c>
      <c r="J13" s="21" t="s">
        <v>184</v>
      </c>
      <c r="K13" s="21" t="s">
        <v>74</v>
      </c>
    </row>
    <row r="14" ht="85.5" customHeight="1">
      <c r="A14" s="21">
        <v>9.0</v>
      </c>
      <c r="B14" s="22" t="s">
        <v>210</v>
      </c>
      <c r="C14" s="22" t="s">
        <v>212</v>
      </c>
      <c r="D14" s="22" t="s">
        <v>214</v>
      </c>
      <c r="E14" s="22" t="s">
        <v>11</v>
      </c>
      <c r="F14" s="22" t="s">
        <v>217</v>
      </c>
      <c r="G14" s="22" t="s">
        <v>219</v>
      </c>
      <c r="H14" s="22" t="s">
        <v>223</v>
      </c>
      <c r="I14" s="22" t="s">
        <v>225</v>
      </c>
      <c r="J14" s="21" t="s">
        <v>66</v>
      </c>
      <c r="K14" s="21" t="s">
        <v>74</v>
      </c>
    </row>
    <row r="15" ht="85.5" customHeight="1">
      <c r="A15" s="21">
        <v>10.0</v>
      </c>
      <c r="B15" s="22" t="s">
        <v>233</v>
      </c>
      <c r="C15" s="22" t="s">
        <v>235</v>
      </c>
      <c r="D15" s="22" t="s">
        <v>237</v>
      </c>
      <c r="E15" s="22" t="s">
        <v>7</v>
      </c>
      <c r="F15" s="22" t="s">
        <v>240</v>
      </c>
      <c r="G15" s="22" t="s">
        <v>243</v>
      </c>
      <c r="H15" s="22" t="s">
        <v>88</v>
      </c>
      <c r="I15" s="22" t="s">
        <v>182</v>
      </c>
      <c r="J15" s="21" t="s">
        <v>184</v>
      </c>
      <c r="K15" s="21" t="s">
        <v>74</v>
      </c>
    </row>
    <row r="16" ht="85.5" customHeight="1">
      <c r="A16" s="21">
        <v>11.0</v>
      </c>
      <c r="B16" s="22" t="s">
        <v>252</v>
      </c>
      <c r="C16" s="22" t="s">
        <v>256</v>
      </c>
      <c r="D16" s="22" t="s">
        <v>258</v>
      </c>
      <c r="E16" s="22" t="s">
        <v>7</v>
      </c>
      <c r="F16" s="22" t="s">
        <v>262</v>
      </c>
      <c r="G16" s="22" t="s">
        <v>264</v>
      </c>
      <c r="H16" s="22" t="s">
        <v>88</v>
      </c>
      <c r="I16" s="22" t="s">
        <v>182</v>
      </c>
      <c r="J16" s="21" t="s">
        <v>184</v>
      </c>
      <c r="K16" s="21" t="s">
        <v>74</v>
      </c>
    </row>
    <row r="17" ht="85.5" customHeight="1">
      <c r="A17" s="21">
        <v>12.0</v>
      </c>
      <c r="B17" s="22" t="s">
        <v>271</v>
      </c>
      <c r="C17" s="22" t="s">
        <v>273</v>
      </c>
      <c r="D17" s="22" t="s">
        <v>274</v>
      </c>
      <c r="E17" s="22" t="s">
        <v>7</v>
      </c>
      <c r="F17" s="22" t="s">
        <v>278</v>
      </c>
      <c r="G17" s="22" t="s">
        <v>279</v>
      </c>
      <c r="H17" s="22" t="s">
        <v>88</v>
      </c>
      <c r="I17" s="22" t="s">
        <v>182</v>
      </c>
      <c r="J17" s="21" t="s">
        <v>184</v>
      </c>
      <c r="K17" s="21" t="s">
        <v>74</v>
      </c>
    </row>
    <row r="18" ht="85.5" customHeight="1">
      <c r="A18" s="21">
        <v>13.0</v>
      </c>
      <c r="B18" s="22" t="s">
        <v>285</v>
      </c>
      <c r="C18" s="22" t="s">
        <v>287</v>
      </c>
      <c r="D18" s="22" t="s">
        <v>290</v>
      </c>
      <c r="E18" s="22" t="s">
        <v>11</v>
      </c>
      <c r="F18" s="22" t="s">
        <v>292</v>
      </c>
      <c r="G18" s="22" t="s">
        <v>294</v>
      </c>
      <c r="H18" s="22" t="s">
        <v>297</v>
      </c>
      <c r="I18" s="22" t="s">
        <v>300</v>
      </c>
      <c r="J18" s="21" t="s">
        <v>66</v>
      </c>
      <c r="K18" s="21" t="s">
        <v>74</v>
      </c>
    </row>
    <row r="19" ht="85.5" customHeight="1">
      <c r="A19" s="21">
        <v>14.0</v>
      </c>
      <c r="B19" s="22" t="s">
        <v>306</v>
      </c>
      <c r="C19" s="22" t="s">
        <v>308</v>
      </c>
      <c r="D19" s="22" t="s">
        <v>309</v>
      </c>
      <c r="E19" s="22" t="s">
        <v>11</v>
      </c>
      <c r="F19" s="22" t="s">
        <v>310</v>
      </c>
      <c r="G19" s="22" t="s">
        <v>314</v>
      </c>
      <c r="H19" s="22" t="s">
        <v>319</v>
      </c>
      <c r="I19" s="22" t="s">
        <v>322</v>
      </c>
      <c r="J19" s="21" t="s">
        <v>66</v>
      </c>
      <c r="K19" s="21" t="s">
        <v>74</v>
      </c>
    </row>
    <row r="20" ht="85.5" customHeight="1">
      <c r="A20" s="21">
        <v>15.0</v>
      </c>
      <c r="B20" s="22" t="s">
        <v>327</v>
      </c>
      <c r="C20" s="22" t="s">
        <v>328</v>
      </c>
      <c r="D20" s="22" t="s">
        <v>309</v>
      </c>
      <c r="E20" s="22" t="s">
        <v>11</v>
      </c>
      <c r="F20" s="22" t="s">
        <v>332</v>
      </c>
      <c r="G20" s="22" t="s">
        <v>334</v>
      </c>
      <c r="H20" s="22" t="s">
        <v>336</v>
      </c>
      <c r="I20" s="22" t="s">
        <v>339</v>
      </c>
      <c r="J20" s="21" t="s">
        <v>66</v>
      </c>
      <c r="K20" s="21" t="s">
        <v>74</v>
      </c>
    </row>
    <row r="21" ht="85.5" customHeight="1">
      <c r="A21" s="21">
        <v>16.0</v>
      </c>
      <c r="B21" s="22" t="s">
        <v>349</v>
      </c>
      <c r="C21" s="22" t="s">
        <v>351</v>
      </c>
      <c r="D21" s="22" t="s">
        <v>352</v>
      </c>
      <c r="E21" s="22" t="s">
        <v>353</v>
      </c>
      <c r="F21" s="22" t="s">
        <v>355</v>
      </c>
      <c r="G21" s="22" t="s">
        <v>357</v>
      </c>
      <c r="H21" s="22" t="s">
        <v>360</v>
      </c>
      <c r="I21" s="22" t="s">
        <v>362</v>
      </c>
      <c r="J21" s="21" t="s">
        <v>363</v>
      </c>
      <c r="K21" s="21" t="s">
        <v>74</v>
      </c>
    </row>
    <row r="22" ht="85.5" customHeight="1">
      <c r="A22" s="21">
        <v>17.0</v>
      </c>
      <c r="B22" s="22" t="s">
        <v>367</v>
      </c>
      <c r="C22" s="22" t="s">
        <v>368</v>
      </c>
      <c r="D22" s="22" t="s">
        <v>369</v>
      </c>
      <c r="E22" s="22" t="s">
        <v>371</v>
      </c>
      <c r="F22" s="22" t="s">
        <v>373</v>
      </c>
      <c r="G22" s="22" t="s">
        <v>375</v>
      </c>
      <c r="H22" s="22" t="s">
        <v>376</v>
      </c>
      <c r="I22" s="22" t="s">
        <v>377</v>
      </c>
      <c r="J22" s="21" t="s">
        <v>379</v>
      </c>
      <c r="K22" s="21" t="s">
        <v>74</v>
      </c>
    </row>
    <row r="23" ht="85.5" customHeight="1">
      <c r="A23" s="21">
        <v>18.0</v>
      </c>
      <c r="B23" s="22" t="s">
        <v>380</v>
      </c>
      <c r="C23" s="22" t="s">
        <v>381</v>
      </c>
      <c r="D23" s="22" t="s">
        <v>383</v>
      </c>
      <c r="E23" s="22" t="s">
        <v>385</v>
      </c>
      <c r="F23" s="22" t="s">
        <v>388</v>
      </c>
      <c r="G23" s="22" t="s">
        <v>390</v>
      </c>
      <c r="H23" s="22" t="s">
        <v>393</v>
      </c>
      <c r="I23" s="22" t="s">
        <v>395</v>
      </c>
      <c r="J23" s="21" t="s">
        <v>397</v>
      </c>
      <c r="K23" s="21" t="s">
        <v>74</v>
      </c>
    </row>
    <row r="24" ht="85.5" customHeight="1">
      <c r="A24" s="21">
        <v>19.0</v>
      </c>
      <c r="B24" s="22" t="s">
        <v>400</v>
      </c>
      <c r="C24" s="22" t="s">
        <v>401</v>
      </c>
      <c r="D24" s="22" t="s">
        <v>402</v>
      </c>
      <c r="E24" s="22" t="s">
        <v>403</v>
      </c>
      <c r="F24" s="22" t="s">
        <v>404</v>
      </c>
      <c r="G24" s="22" t="s">
        <v>405</v>
      </c>
      <c r="H24" s="22" t="s">
        <v>406</v>
      </c>
      <c r="I24" s="22" t="s">
        <v>407</v>
      </c>
      <c r="J24" s="21" t="s">
        <v>397</v>
      </c>
      <c r="K24" s="21" t="s">
        <v>74</v>
      </c>
    </row>
    <row r="25" ht="85.5" customHeight="1">
      <c r="A25" s="21">
        <v>20.0</v>
      </c>
      <c r="B25" s="22" t="s">
        <v>410</v>
      </c>
      <c r="C25" s="22" t="s">
        <v>412</v>
      </c>
      <c r="D25" s="22" t="s">
        <v>414</v>
      </c>
      <c r="E25" s="22" t="s">
        <v>415</v>
      </c>
      <c r="F25" s="22" t="s">
        <v>417</v>
      </c>
      <c r="G25" s="22" t="s">
        <v>419</v>
      </c>
      <c r="H25" s="22" t="s">
        <v>420</v>
      </c>
      <c r="I25" s="22" t="s">
        <v>421</v>
      </c>
      <c r="J25" s="21" t="s">
        <v>422</v>
      </c>
      <c r="K25" s="21" t="s">
        <v>74</v>
      </c>
    </row>
    <row r="26" ht="85.5" customHeight="1">
      <c r="A26" s="21">
        <v>21.0</v>
      </c>
      <c r="B26" s="22" t="s">
        <v>423</v>
      </c>
      <c r="C26" s="22" t="s">
        <v>425</v>
      </c>
      <c r="D26" s="22" t="s">
        <v>427</v>
      </c>
      <c r="E26" s="22" t="s">
        <v>415</v>
      </c>
      <c r="F26" s="22" t="s">
        <v>429</v>
      </c>
      <c r="G26" s="22" t="s">
        <v>430</v>
      </c>
      <c r="H26" s="22" t="s">
        <v>431</v>
      </c>
      <c r="I26" s="22" t="s">
        <v>433</v>
      </c>
      <c r="J26" s="21" t="s">
        <v>422</v>
      </c>
      <c r="K26" s="21" t="s">
        <v>74</v>
      </c>
    </row>
    <row r="27" ht="85.5" customHeight="1">
      <c r="A27" s="29">
        <v>22.0</v>
      </c>
      <c r="B27" s="30" t="s">
        <v>434</v>
      </c>
      <c r="C27" s="30" t="s">
        <v>437</v>
      </c>
      <c r="D27" s="30" t="s">
        <v>309</v>
      </c>
      <c r="E27" s="30" t="s">
        <v>441</v>
      </c>
      <c r="F27" s="30" t="s">
        <v>442</v>
      </c>
      <c r="G27" s="30" t="s">
        <v>443</v>
      </c>
      <c r="H27" s="30" t="s">
        <v>444</v>
      </c>
      <c r="I27" s="30" t="s">
        <v>445</v>
      </c>
      <c r="J27" s="29" t="s">
        <v>66</v>
      </c>
      <c r="K27" s="29" t="s">
        <v>74</v>
      </c>
      <c r="L27" s="31"/>
      <c r="M27" s="31"/>
      <c r="N27" s="31"/>
      <c r="O27" s="31"/>
      <c r="P27" s="31"/>
      <c r="Q27" s="31"/>
      <c r="R27" s="31"/>
      <c r="S27" s="31"/>
      <c r="T27" s="31"/>
      <c r="U27" s="31"/>
      <c r="V27" s="31"/>
      <c r="W27" s="31"/>
      <c r="X27" s="31"/>
      <c r="Y27" s="31"/>
      <c r="Z27" s="31"/>
    </row>
    <row r="28" ht="85.5" customHeight="1">
      <c r="A28" s="29">
        <v>23.0</v>
      </c>
      <c r="B28" s="30" t="s">
        <v>450</v>
      </c>
      <c r="C28" s="30" t="s">
        <v>451</v>
      </c>
      <c r="D28" s="30" t="s">
        <v>452</v>
      </c>
      <c r="E28" s="30" t="s">
        <v>13</v>
      </c>
      <c r="F28" s="30" t="s">
        <v>454</v>
      </c>
      <c r="G28" s="30" t="s">
        <v>455</v>
      </c>
      <c r="H28" s="30" t="s">
        <v>456</v>
      </c>
      <c r="I28" s="30" t="s">
        <v>458</v>
      </c>
      <c r="J28" s="29" t="s">
        <v>461</v>
      </c>
      <c r="K28" s="29" t="s">
        <v>74</v>
      </c>
      <c r="L28" s="31"/>
      <c r="M28" s="31"/>
      <c r="N28" s="31"/>
      <c r="O28" s="31"/>
      <c r="P28" s="31"/>
      <c r="Q28" s="31"/>
      <c r="R28" s="31"/>
      <c r="S28" s="31"/>
      <c r="T28" s="31"/>
      <c r="U28" s="31"/>
      <c r="V28" s="31"/>
      <c r="W28" s="31"/>
      <c r="X28" s="31"/>
      <c r="Y28" s="31"/>
      <c r="Z28" s="31"/>
    </row>
    <row r="29" ht="15.75" customHeight="1">
      <c r="A29" s="31"/>
      <c r="B29" s="31"/>
      <c r="C29" s="31"/>
      <c r="D29" s="31"/>
      <c r="E29" s="31"/>
      <c r="F29" s="31"/>
      <c r="G29" s="31"/>
      <c r="H29" s="31"/>
      <c r="I29" s="31"/>
      <c r="J29" s="31"/>
      <c r="K29" s="31"/>
      <c r="L29" s="31"/>
      <c r="M29" s="31"/>
      <c r="N29" s="31"/>
      <c r="O29" s="31"/>
      <c r="P29" s="31"/>
      <c r="Q29" s="31"/>
      <c r="R29" s="31"/>
      <c r="S29" s="31"/>
      <c r="T29" s="31"/>
      <c r="U29" s="31"/>
      <c r="V29" s="31"/>
      <c r="W29" s="31"/>
      <c r="X29" s="31"/>
      <c r="Y29" s="31"/>
      <c r="Z29" s="31"/>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K2"/>
    <mergeCell ref="A3:K3"/>
  </mergeCells>
  <conditionalFormatting sqref="E6:E28">
    <cfRule type="expression" dxfId="5" priority="1">
      <formula>LEFT(E6,3)="YES"</formula>
    </cfRule>
  </conditionalFormatting>
  <conditionalFormatting sqref="E6:E28">
    <cfRule type="expression" dxfId="6" priority="2">
      <formula>AND(LEFT(E6,2)="NO",ISNUMBER(SEARCH("Claim acceptable",E6)))</formula>
    </cfRule>
  </conditionalFormatting>
  <conditionalFormatting sqref="E6:E28">
    <cfRule type="expression" dxfId="7" priority="3">
      <formula>AND(LEFT(E6,2)="NO",OR(ISNUMBER(SEARCH("Copy +",E6)),ISNUMBER(SEARCH("Minor copy",E6)),ISNUMBER(SEARCH("Context +",E6))))</formula>
    </cfRule>
  </conditionalFormatting>
  <conditionalFormatting sqref="E6:E28">
    <cfRule type="expression" dxfId="8" priority="4">
      <formula>AND(LEFT(E6,2)="NO",OR(ISNUMBER(SEARCH("Reframing",E6)),ISNUMBER(SEARCH("Contextualisation",E6)),ISNUMBER(SEARCH("Current framing",E6))))</formula>
    </cfRule>
  </conditionalFormatting>
  <conditionalFormatting sqref="K6:K28">
    <cfRule type="expression" dxfId="5" priority="5">
      <formula>K6="Closed"</formula>
    </cfRule>
  </conditionalFormatting>
  <conditionalFormatting sqref="K6:K28">
    <cfRule type="expression" dxfId="6" priority="6">
      <formula>K6="Ready for MA re-review"</formula>
    </cfRule>
  </conditionalFormatting>
  <conditionalFormatting sqref="K6:K28">
    <cfRule type="expression" dxfId="10" priority="7">
      <formula>K6="In Progress"</formula>
    </cfRule>
  </conditionalFormatting>
  <conditionalFormatting sqref="J6:J28">
    <cfRule type="expression" dxfId="8" priority="8">
      <formula>J6="Structural"</formula>
    </cfRule>
  </conditionalFormatting>
  <conditionalFormatting sqref="J6:J28">
    <cfRule type="expression" dxfId="7" priority="9">
      <formula>ISNUMBER(SEARCH("Reframe",J6))</formula>
    </cfRule>
  </conditionalFormatting>
  <dataValidations>
    <dataValidation type="list" allowBlank="1" sqref="K6:K28">
      <formula1>"Not Started,In Progress,Ready for MA re-review,Closed"</formula1>
    </dataValidation>
  </dataValidations>
  <printOptions/>
  <pageMargins bottom="0.75" footer="0.0" header="0.0" left="0.7" right="0.7" top="0.75"/>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0"/>
    <col customWidth="1" min="2" max="2" width="76.0"/>
    <col customWidth="1" min="3" max="3" width="33.0"/>
    <col customWidth="1" min="4" max="4" width="25.0"/>
    <col customWidth="1" min="5" max="5" width="48.0"/>
    <col customWidth="1" min="6" max="6" width="28.0"/>
    <col customWidth="1" min="7" max="7" width="50.0"/>
  </cols>
  <sheetData>
    <row r="1">
      <c r="A1" s="14" t="s">
        <v>36</v>
      </c>
    </row>
    <row r="3">
      <c r="A3" s="2" t="s">
        <v>37</v>
      </c>
    </row>
    <row r="5">
      <c r="A5" s="19" t="s">
        <v>39</v>
      </c>
    </row>
    <row r="6" ht="33.75" customHeight="1">
      <c r="A6" s="18" t="s">
        <v>45</v>
      </c>
      <c r="B6" s="18" t="s">
        <v>50</v>
      </c>
      <c r="C6" s="18" t="s">
        <v>51</v>
      </c>
      <c r="D6" s="18" t="s">
        <v>53</v>
      </c>
      <c r="E6" s="18" t="s">
        <v>55</v>
      </c>
      <c r="F6" s="18" t="s">
        <v>57</v>
      </c>
      <c r="G6" s="18" t="s">
        <v>59</v>
      </c>
    </row>
    <row r="7" ht="63.75" customHeight="1">
      <c r="A7" s="22" t="s">
        <v>62</v>
      </c>
      <c r="B7" s="22" t="s">
        <v>63</v>
      </c>
      <c r="C7" s="22" t="s">
        <v>65</v>
      </c>
      <c r="D7" s="22" t="s">
        <v>16</v>
      </c>
      <c r="E7" s="22" t="s">
        <v>67</v>
      </c>
      <c r="F7" s="22" t="s">
        <v>68</v>
      </c>
      <c r="G7" s="22" t="s">
        <v>69</v>
      </c>
    </row>
    <row r="8" ht="63.75" customHeight="1">
      <c r="A8" s="22" t="s">
        <v>70</v>
      </c>
      <c r="B8" s="22" t="s">
        <v>71</v>
      </c>
      <c r="C8" s="22" t="s">
        <v>72</v>
      </c>
      <c r="D8" s="22" t="s">
        <v>16</v>
      </c>
      <c r="E8" s="22" t="s">
        <v>73</v>
      </c>
      <c r="F8" s="22" t="s">
        <v>75</v>
      </c>
      <c r="G8" s="22" t="s">
        <v>76</v>
      </c>
    </row>
    <row r="9" ht="63.75" customHeight="1">
      <c r="A9" s="22" t="s">
        <v>77</v>
      </c>
      <c r="B9" s="22" t="s">
        <v>78</v>
      </c>
      <c r="C9" s="22" t="s">
        <v>80</v>
      </c>
      <c r="D9" s="22" t="s">
        <v>82</v>
      </c>
      <c r="E9" s="22" t="s">
        <v>83</v>
      </c>
      <c r="F9" s="22" t="s">
        <v>84</v>
      </c>
      <c r="G9" s="22" t="s">
        <v>87</v>
      </c>
    </row>
    <row r="10" ht="63.75" customHeight="1">
      <c r="A10" s="22" t="s">
        <v>90</v>
      </c>
      <c r="B10" s="22" t="s">
        <v>92</v>
      </c>
      <c r="C10" s="22" t="s">
        <v>93</v>
      </c>
      <c r="D10" s="22" t="s">
        <v>94</v>
      </c>
      <c r="E10" s="22" t="s">
        <v>96</v>
      </c>
      <c r="F10" s="22" t="s">
        <v>97</v>
      </c>
      <c r="G10" s="22" t="s">
        <v>99</v>
      </c>
    </row>
    <row r="11" ht="63.75" customHeight="1">
      <c r="A11" s="22" t="s">
        <v>101</v>
      </c>
      <c r="B11" s="22" t="s">
        <v>103</v>
      </c>
      <c r="C11" s="22" t="s">
        <v>104</v>
      </c>
      <c r="D11" s="22" t="s">
        <v>24</v>
      </c>
      <c r="E11" s="22" t="s">
        <v>106</v>
      </c>
      <c r="F11" s="22" t="s">
        <v>110</v>
      </c>
      <c r="G11" s="22" t="s">
        <v>111</v>
      </c>
    </row>
    <row r="12" ht="63.75" customHeight="1">
      <c r="A12" s="22" t="s">
        <v>114</v>
      </c>
      <c r="B12" s="22" t="s">
        <v>116</v>
      </c>
      <c r="C12" s="22" t="s">
        <v>119</v>
      </c>
      <c r="D12" s="22" t="s">
        <v>121</v>
      </c>
      <c r="E12" s="22" t="s">
        <v>123</v>
      </c>
      <c r="F12" s="22" t="s">
        <v>126</v>
      </c>
      <c r="G12" s="22" t="s">
        <v>129</v>
      </c>
    </row>
    <row r="13" ht="63.75" customHeight="1">
      <c r="A13" s="22" t="s">
        <v>132</v>
      </c>
      <c r="B13" s="22" t="s">
        <v>135</v>
      </c>
      <c r="C13" s="22" t="s">
        <v>93</v>
      </c>
      <c r="D13" s="22" t="s">
        <v>139</v>
      </c>
      <c r="E13" s="22" t="s">
        <v>141</v>
      </c>
      <c r="F13" s="22" t="s">
        <v>142</v>
      </c>
      <c r="G13" s="22" t="s">
        <v>143</v>
      </c>
    </row>
    <row r="14" ht="63.75" customHeight="1">
      <c r="A14" s="22" t="s">
        <v>145</v>
      </c>
      <c r="B14" s="22" t="s">
        <v>150</v>
      </c>
      <c r="C14" s="22" t="s">
        <v>152</v>
      </c>
      <c r="D14" s="22" t="s">
        <v>156</v>
      </c>
      <c r="E14" s="22" t="s">
        <v>159</v>
      </c>
      <c r="F14" s="22" t="s">
        <v>161</v>
      </c>
      <c r="G14" s="22" t="s">
        <v>163</v>
      </c>
    </row>
    <row r="15" ht="63.75" customHeight="1">
      <c r="A15" s="22" t="s">
        <v>164</v>
      </c>
      <c r="B15" s="22" t="s">
        <v>165</v>
      </c>
      <c r="C15" s="22" t="s">
        <v>93</v>
      </c>
      <c r="D15" s="22" t="s">
        <v>156</v>
      </c>
      <c r="E15" s="22" t="s">
        <v>166</v>
      </c>
      <c r="F15" s="22" t="s">
        <v>168</v>
      </c>
      <c r="G15" s="22" t="s">
        <v>171</v>
      </c>
    </row>
    <row r="16" ht="63.75" customHeight="1">
      <c r="A16" s="22" t="s">
        <v>175</v>
      </c>
      <c r="B16" s="22" t="s">
        <v>178</v>
      </c>
      <c r="C16" s="22" t="s">
        <v>180</v>
      </c>
      <c r="D16" s="22" t="s">
        <v>183</v>
      </c>
      <c r="E16" s="22" t="s">
        <v>185</v>
      </c>
      <c r="F16" s="22" t="s">
        <v>186</v>
      </c>
      <c r="G16" s="22" t="s">
        <v>187</v>
      </c>
    </row>
    <row r="17" ht="63.75" customHeight="1">
      <c r="A17" s="22" t="s">
        <v>189</v>
      </c>
      <c r="B17" s="22" t="s">
        <v>191</v>
      </c>
      <c r="C17" s="22" t="s">
        <v>193</v>
      </c>
      <c r="D17" s="22" t="s">
        <v>194</v>
      </c>
      <c r="E17" s="22" t="s">
        <v>198</v>
      </c>
      <c r="F17" s="22" t="s">
        <v>201</v>
      </c>
      <c r="G17" s="22" t="s">
        <v>203</v>
      </c>
    </row>
    <row r="18" ht="63.75" customHeight="1">
      <c r="A18" s="22" t="s">
        <v>205</v>
      </c>
      <c r="B18" s="22" t="s">
        <v>206</v>
      </c>
      <c r="C18" s="22" t="s">
        <v>207</v>
      </c>
      <c r="D18" s="22" t="s">
        <v>208</v>
      </c>
      <c r="E18" s="22" t="s">
        <v>209</v>
      </c>
      <c r="F18" s="22" t="s">
        <v>211</v>
      </c>
      <c r="G18" s="22" t="s">
        <v>213</v>
      </c>
    </row>
    <row r="19" ht="63.75" customHeight="1">
      <c r="A19" s="22" t="s">
        <v>215</v>
      </c>
      <c r="B19" s="22" t="s">
        <v>216</v>
      </c>
      <c r="C19" s="22" t="s">
        <v>218</v>
      </c>
      <c r="D19" s="22" t="s">
        <v>221</v>
      </c>
      <c r="E19" s="22" t="s">
        <v>224</v>
      </c>
      <c r="F19" s="22" t="s">
        <v>227</v>
      </c>
      <c r="G19" s="22" t="s">
        <v>229</v>
      </c>
    </row>
    <row r="20" ht="63.75" customHeight="1">
      <c r="A20" s="22" t="s">
        <v>231</v>
      </c>
      <c r="B20" s="22" t="s">
        <v>232</v>
      </c>
      <c r="C20" s="22" t="s">
        <v>234</v>
      </c>
      <c r="D20" s="22" t="s">
        <v>236</v>
      </c>
      <c r="E20" s="22" t="s">
        <v>238</v>
      </c>
      <c r="F20" s="22" t="s">
        <v>239</v>
      </c>
      <c r="G20" s="22" t="s">
        <v>242</v>
      </c>
    </row>
    <row r="21" ht="63.75" customHeight="1">
      <c r="A21" s="22" t="s">
        <v>245</v>
      </c>
      <c r="B21" s="22" t="s">
        <v>247</v>
      </c>
      <c r="C21" s="22" t="s">
        <v>249</v>
      </c>
      <c r="D21" s="22" t="s">
        <v>250</v>
      </c>
      <c r="E21" s="22" t="s">
        <v>251</v>
      </c>
      <c r="F21" s="22" t="s">
        <v>253</v>
      </c>
      <c r="G21" s="22" t="s">
        <v>254</v>
      </c>
    </row>
    <row r="22" ht="63.75" customHeight="1">
      <c r="A22" s="22" t="s">
        <v>255</v>
      </c>
      <c r="B22" s="22" t="s">
        <v>257</v>
      </c>
      <c r="C22" s="22" t="s">
        <v>104</v>
      </c>
      <c r="D22" s="22" t="s">
        <v>260</v>
      </c>
      <c r="E22" s="22" t="s">
        <v>263</v>
      </c>
      <c r="F22" s="22" t="s">
        <v>266</v>
      </c>
      <c r="G22" s="22" t="s">
        <v>268</v>
      </c>
    </row>
    <row r="23" ht="15.75" customHeight="1"/>
    <row r="24" ht="15.75" customHeight="1">
      <c r="A24" s="27" t="s">
        <v>270</v>
      </c>
    </row>
    <row r="25" ht="33.75" customHeight="1">
      <c r="A25" s="18" t="s">
        <v>272</v>
      </c>
      <c r="B25" s="18" t="s">
        <v>275</v>
      </c>
      <c r="C25" s="18" t="s">
        <v>57</v>
      </c>
      <c r="D25" s="18" t="s">
        <v>59</v>
      </c>
      <c r="E25" s="18" t="s">
        <v>283</v>
      </c>
    </row>
    <row r="26" ht="57.75" customHeight="1">
      <c r="A26" s="22">
        <v>1.0</v>
      </c>
      <c r="B26" s="22" t="s">
        <v>286</v>
      </c>
      <c r="C26" s="22" t="s">
        <v>288</v>
      </c>
      <c r="D26" s="22" t="s">
        <v>289</v>
      </c>
      <c r="E26" s="22"/>
    </row>
    <row r="27" ht="57.75" customHeight="1">
      <c r="A27" s="22">
        <v>2.0</v>
      </c>
      <c r="B27" s="22" t="s">
        <v>296</v>
      </c>
      <c r="C27" s="22" t="s">
        <v>298</v>
      </c>
      <c r="D27" s="22" t="s">
        <v>301</v>
      </c>
      <c r="E27" s="22"/>
    </row>
    <row r="28" ht="57.75" customHeight="1">
      <c r="A28" s="22">
        <v>3.0</v>
      </c>
      <c r="B28" s="22" t="s">
        <v>304</v>
      </c>
      <c r="C28" s="22" t="s">
        <v>305</v>
      </c>
      <c r="D28" s="22" t="s">
        <v>307</v>
      </c>
      <c r="E28" s="22"/>
    </row>
    <row r="29" ht="57.75" customHeight="1">
      <c r="A29" s="22">
        <v>4.0</v>
      </c>
      <c r="B29" s="22" t="s">
        <v>311</v>
      </c>
      <c r="C29" s="22" t="s">
        <v>313</v>
      </c>
      <c r="D29" s="22" t="s">
        <v>316</v>
      </c>
      <c r="E29" s="22"/>
    </row>
    <row r="30" ht="57.75" customHeight="1">
      <c r="A30" s="22">
        <v>5.0</v>
      </c>
      <c r="B30" s="22" t="s">
        <v>320</v>
      </c>
      <c r="C30" s="22" t="s">
        <v>323</v>
      </c>
      <c r="D30" s="22" t="s">
        <v>325</v>
      </c>
      <c r="E30" s="22"/>
    </row>
    <row r="31" ht="57.75" customHeight="1">
      <c r="A31" s="22">
        <v>6.0</v>
      </c>
      <c r="B31" s="22" t="s">
        <v>326</v>
      </c>
      <c r="C31" s="22"/>
      <c r="D31" s="22" t="s">
        <v>329</v>
      </c>
      <c r="E31" s="22"/>
    </row>
    <row r="32" ht="57.75" customHeight="1">
      <c r="A32" s="28">
        <v>7.0</v>
      </c>
      <c r="B32" s="28" t="s">
        <v>335</v>
      </c>
      <c r="C32" s="28" t="s">
        <v>338</v>
      </c>
      <c r="D32" s="28" t="s">
        <v>340</v>
      </c>
      <c r="E32" s="28" t="s">
        <v>341</v>
      </c>
    </row>
    <row r="33" ht="57.75" customHeight="1">
      <c r="A33" s="22">
        <v>8.0</v>
      </c>
      <c r="B33" s="22" t="s">
        <v>342</v>
      </c>
      <c r="C33" s="22" t="s">
        <v>343</v>
      </c>
      <c r="D33" s="22" t="s">
        <v>345</v>
      </c>
      <c r="E33" s="22"/>
    </row>
    <row r="34" ht="57.75" customHeight="1">
      <c r="A34" s="22">
        <v>9.0</v>
      </c>
      <c r="B34" s="22" t="s">
        <v>347</v>
      </c>
      <c r="C34" s="22" t="s">
        <v>348</v>
      </c>
      <c r="D34" s="22" t="s">
        <v>350</v>
      </c>
      <c r="E34" s="22"/>
    </row>
    <row r="35" ht="57.75" customHeight="1">
      <c r="A35" s="22">
        <v>10.0</v>
      </c>
      <c r="B35" s="22" t="s">
        <v>354</v>
      </c>
      <c r="C35" s="22" t="s">
        <v>356</v>
      </c>
      <c r="D35" s="22" t="s">
        <v>359</v>
      </c>
      <c r="E35" s="22"/>
    </row>
    <row r="36" ht="57.75" customHeight="1">
      <c r="A36" s="22">
        <v>11.0</v>
      </c>
      <c r="B36" s="22" t="s">
        <v>364</v>
      </c>
      <c r="C36" s="22" t="s">
        <v>365</v>
      </c>
      <c r="D36" s="22" t="s">
        <v>366</v>
      </c>
      <c r="E36" s="22"/>
    </row>
    <row r="37" ht="57.75" customHeight="1">
      <c r="A37" s="22">
        <v>12.0</v>
      </c>
      <c r="B37" s="22" t="s">
        <v>370</v>
      </c>
      <c r="C37" s="22" t="s">
        <v>372</v>
      </c>
      <c r="D37" s="22" t="s">
        <v>374</v>
      </c>
      <c r="E37" s="22"/>
    </row>
    <row r="38" ht="57.75" customHeight="1">
      <c r="A38" s="22">
        <v>13.0</v>
      </c>
      <c r="B38" s="22" t="s">
        <v>378</v>
      </c>
      <c r="C38" s="22" t="s">
        <v>186</v>
      </c>
      <c r="D38" s="22" t="s">
        <v>187</v>
      </c>
      <c r="E38" s="22"/>
    </row>
    <row r="39" ht="57.75" customHeight="1">
      <c r="A39" s="22">
        <v>14.0</v>
      </c>
      <c r="B39" s="22" t="s">
        <v>386</v>
      </c>
      <c r="C39" s="22"/>
      <c r="D39" s="22" t="s">
        <v>391</v>
      </c>
      <c r="E39" s="22"/>
    </row>
    <row r="40" ht="57.75" customHeight="1">
      <c r="A40" s="22">
        <v>15.0</v>
      </c>
      <c r="B40" s="22" t="s">
        <v>396</v>
      </c>
      <c r="C40" s="22" t="s">
        <v>398</v>
      </c>
      <c r="D40" s="22" t="s">
        <v>399</v>
      </c>
      <c r="E40" s="22"/>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G2"/>
    <mergeCell ref="A3:G3"/>
    <mergeCell ref="A5:G5"/>
    <mergeCell ref="A24:E24"/>
  </mergeCells>
  <printOptions/>
  <pageMargins bottom="0.75" footer="0.0" header="0.0" left="0.7" right="0.7" top="0.75"/>
  <pageSetup orientation="landscape"/>
  <drawing r:id="rId1"/>
  <tableParts count="2">
    <tablePart r:id="rId4"/>
    <tablePart r:id="rId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0"/>
    <col customWidth="1" min="2" max="2" width="22.0"/>
    <col customWidth="1" min="3" max="3" width="46.0"/>
    <col customWidth="1" min="4" max="4" width="30.0"/>
    <col customWidth="1" min="5" max="5" width="38.0"/>
    <col customWidth="1" min="6" max="6" width="50.0"/>
    <col customWidth="1" min="7" max="9" width="52.0"/>
    <col customWidth="1" min="10" max="10" width="46.0"/>
    <col customWidth="1" min="11" max="11" width="20.0"/>
  </cols>
  <sheetData>
    <row r="1">
      <c r="A1" s="1" t="s">
        <v>28</v>
      </c>
    </row>
    <row r="3">
      <c r="A3" s="15" t="s">
        <v>30</v>
      </c>
    </row>
    <row r="6">
      <c r="A6" s="17" t="s">
        <v>2</v>
      </c>
      <c r="D6" s="17" t="s">
        <v>33</v>
      </c>
      <c r="G6" s="17" t="s">
        <v>34</v>
      </c>
      <c r="J6" s="17" t="s">
        <v>35</v>
      </c>
    </row>
    <row r="7">
      <c r="A7" s="20">
        <f>COUNTA(A12:A34)</f>
        <v>23</v>
      </c>
      <c r="D7" s="23">
        <f>COUNTIF(E12:E34,"GREEN – Reference-only route sufficient")+COUNTIF(E12:E34,"GREEN – Current reference already sufficient")+COUNTIF(E12:E34,"GREEN – Current reference sufficient; optional strengthening")</f>
        <v>12</v>
      </c>
      <c r="G7" s="24">
        <f>COUNTIF(E12:E34,"AMBER – Stronger references improve support; residual wording mismatch remains")+COUNTIF(E12:E34,"AMBER – Strong reference package available; breadth of “fibre” remains")+COUNTIF(E12:E34,"AMBER – Stronger references improve support; wording is colloquial")+COUNTIF(E12:E34,"AMBER – Navel/umbilical measurement is defensible, but not the preferred WHO standard")+COUNTIF(E12:E34,"AMBER – Stronger reference supports risk relevance; symptom framing remains")+COUNTIF(E12:E34,"AMBER – Best available reference supports obesity/chronic oedema, not generic metabolic dysfunction")+COUNTIF(E12:E34,"AMBER – Strong obesity–knee OA evidence; generic metabolic framing remains broader")+COUNTIF(E12:E34,"AMBER – Strong disease-specific evidence; generic metabolic framing remains broader")+COUNTIF(E12:E34,"AMBER – Strong obesity-specific evidence; generic metabolic framing remains broader")</f>
        <v>10</v>
      </c>
      <c r="J7" s="25">
        <f>COUNTIF(E12:E34,"RED – Reference-only route cannot close the MA gap")</f>
        <v>1</v>
      </c>
    </row>
    <row r="10">
      <c r="A10" s="26" t="s">
        <v>108</v>
      </c>
    </row>
    <row r="11" ht="42.0" customHeight="1">
      <c r="A11" s="18" t="s">
        <v>32</v>
      </c>
      <c r="B11" s="18" t="s">
        <v>117</v>
      </c>
      <c r="C11" s="18" t="s">
        <v>120</v>
      </c>
      <c r="D11" s="18" t="s">
        <v>41</v>
      </c>
      <c r="E11" s="18" t="s">
        <v>122</v>
      </c>
      <c r="F11" s="18" t="s">
        <v>125</v>
      </c>
      <c r="G11" s="18" t="s">
        <v>128</v>
      </c>
      <c r="H11" s="18" t="s">
        <v>131</v>
      </c>
      <c r="I11" s="18" t="s">
        <v>134</v>
      </c>
      <c r="J11" s="18" t="s">
        <v>137</v>
      </c>
      <c r="K11" s="18" t="s">
        <v>49</v>
      </c>
    </row>
    <row r="12" ht="91.5" customHeight="1">
      <c r="A12" s="21">
        <v>1.0</v>
      </c>
      <c r="B12" s="22" t="s">
        <v>52</v>
      </c>
      <c r="C12" s="22" t="s">
        <v>54</v>
      </c>
      <c r="D12" s="22" t="s">
        <v>56</v>
      </c>
      <c r="E12" s="22" t="s">
        <v>147</v>
      </c>
      <c r="F12" s="22" t="s">
        <v>149</v>
      </c>
      <c r="G12" s="22" t="s">
        <v>151</v>
      </c>
      <c r="H12" s="22" t="s">
        <v>153</v>
      </c>
      <c r="I12" s="22" t="s">
        <v>155</v>
      </c>
      <c r="J12" s="22" t="s">
        <v>158</v>
      </c>
      <c r="K12" s="21" t="s">
        <v>74</v>
      </c>
    </row>
    <row r="13" ht="91.5" customHeight="1">
      <c r="A13" s="21">
        <v>2.0</v>
      </c>
      <c r="B13" s="22" t="s">
        <v>79</v>
      </c>
      <c r="C13" s="22" t="s">
        <v>81</v>
      </c>
      <c r="D13" s="22" t="s">
        <v>56</v>
      </c>
      <c r="E13" s="22" t="s">
        <v>169</v>
      </c>
      <c r="F13" s="22" t="s">
        <v>172</v>
      </c>
      <c r="G13" s="22" t="s">
        <v>174</v>
      </c>
      <c r="H13" s="22" t="s">
        <v>177</v>
      </c>
      <c r="I13" s="22" t="s">
        <v>181</v>
      </c>
      <c r="J13" s="22" t="s">
        <v>87</v>
      </c>
      <c r="K13" s="21" t="s">
        <v>74</v>
      </c>
    </row>
    <row r="14" ht="91.5" customHeight="1">
      <c r="A14" s="21">
        <v>3.0</v>
      </c>
      <c r="B14" s="22" t="s">
        <v>79</v>
      </c>
      <c r="C14" s="22" t="s">
        <v>95</v>
      </c>
      <c r="D14" s="22" t="s">
        <v>56</v>
      </c>
      <c r="E14" s="22" t="s">
        <v>169</v>
      </c>
      <c r="F14" s="22" t="s">
        <v>195</v>
      </c>
      <c r="G14" s="22" t="s">
        <v>197</v>
      </c>
      <c r="H14" s="22" t="s">
        <v>200</v>
      </c>
      <c r="I14" s="22" t="s">
        <v>202</v>
      </c>
      <c r="J14" s="22" t="s">
        <v>99</v>
      </c>
      <c r="K14" s="21" t="s">
        <v>74</v>
      </c>
    </row>
    <row r="15" ht="91.5" customHeight="1">
      <c r="A15" s="21">
        <v>4.0</v>
      </c>
      <c r="B15" s="22" t="s">
        <v>105</v>
      </c>
      <c r="C15" s="22" t="s">
        <v>107</v>
      </c>
      <c r="D15" s="22" t="s">
        <v>109</v>
      </c>
      <c r="E15" s="22" t="s">
        <v>147</v>
      </c>
      <c r="F15" s="22" t="s">
        <v>220</v>
      </c>
      <c r="G15" s="22" t="s">
        <v>222</v>
      </c>
      <c r="H15" s="22" t="s">
        <v>226</v>
      </c>
      <c r="I15" s="22" t="s">
        <v>228</v>
      </c>
      <c r="J15" s="22" t="s">
        <v>230</v>
      </c>
      <c r="K15" s="21" t="s">
        <v>74</v>
      </c>
    </row>
    <row r="16" ht="91.5" customHeight="1">
      <c r="A16" s="21">
        <v>5.0</v>
      </c>
      <c r="B16" s="22" t="s">
        <v>124</v>
      </c>
      <c r="C16" s="22" t="s">
        <v>127</v>
      </c>
      <c r="D16" s="22" t="s">
        <v>130</v>
      </c>
      <c r="E16" s="22" t="s">
        <v>169</v>
      </c>
      <c r="F16" s="22" t="s">
        <v>241</v>
      </c>
      <c r="G16" s="22" t="s">
        <v>244</v>
      </c>
      <c r="H16" s="22" t="s">
        <v>246</v>
      </c>
      <c r="I16" s="22" t="s">
        <v>248</v>
      </c>
      <c r="J16" s="22" t="s">
        <v>111</v>
      </c>
      <c r="K16" s="21" t="s">
        <v>74</v>
      </c>
    </row>
    <row r="17" ht="91.5" customHeight="1">
      <c r="A17" s="21">
        <v>6.0</v>
      </c>
      <c r="B17" s="22" t="s">
        <v>144</v>
      </c>
      <c r="C17" s="22" t="s">
        <v>146</v>
      </c>
      <c r="D17" s="22" t="s">
        <v>148</v>
      </c>
      <c r="E17" s="22" t="s">
        <v>169</v>
      </c>
      <c r="F17" s="22" t="s">
        <v>259</v>
      </c>
      <c r="G17" s="22" t="s">
        <v>261</v>
      </c>
      <c r="H17" s="22" t="s">
        <v>265</v>
      </c>
      <c r="I17" s="22" t="s">
        <v>267</v>
      </c>
      <c r="J17" s="22" t="s">
        <v>269</v>
      </c>
      <c r="K17" s="21" t="s">
        <v>74</v>
      </c>
    </row>
    <row r="18" ht="91.5" customHeight="1">
      <c r="A18" s="21">
        <v>7.0</v>
      </c>
      <c r="B18" s="22" t="s">
        <v>167</v>
      </c>
      <c r="C18" s="22" t="s">
        <v>170</v>
      </c>
      <c r="D18" s="22" t="s">
        <v>173</v>
      </c>
      <c r="E18" s="22" t="s">
        <v>276</v>
      </c>
      <c r="F18" s="22" t="s">
        <v>277</v>
      </c>
      <c r="G18" s="22" t="s">
        <v>280</v>
      </c>
      <c r="H18" s="22" t="s">
        <v>281</v>
      </c>
      <c r="I18" s="22" t="s">
        <v>282</v>
      </c>
      <c r="J18" s="22" t="s">
        <v>284</v>
      </c>
      <c r="K18" s="21" t="s">
        <v>74</v>
      </c>
    </row>
    <row r="19" ht="91.5" customHeight="1">
      <c r="A19" s="21">
        <v>8.0</v>
      </c>
      <c r="B19" s="22" t="s">
        <v>188</v>
      </c>
      <c r="C19" s="22" t="s">
        <v>190</v>
      </c>
      <c r="D19" s="22" t="s">
        <v>192</v>
      </c>
      <c r="E19" s="22" t="s">
        <v>291</v>
      </c>
      <c r="F19" s="22" t="s">
        <v>293</v>
      </c>
      <c r="G19" s="22" t="s">
        <v>295</v>
      </c>
      <c r="H19" s="22" t="s">
        <v>299</v>
      </c>
      <c r="I19" s="22" t="s">
        <v>302</v>
      </c>
      <c r="J19" s="22" t="s">
        <v>303</v>
      </c>
      <c r="K19" s="21" t="s">
        <v>74</v>
      </c>
    </row>
    <row r="20" ht="91.5" customHeight="1">
      <c r="A20" s="21">
        <v>9.0</v>
      </c>
      <c r="B20" s="22" t="s">
        <v>210</v>
      </c>
      <c r="C20" s="22" t="s">
        <v>212</v>
      </c>
      <c r="D20" s="22" t="s">
        <v>214</v>
      </c>
      <c r="E20" s="22" t="s">
        <v>312</v>
      </c>
      <c r="F20" s="22" t="s">
        <v>315</v>
      </c>
      <c r="G20" s="22" t="s">
        <v>317</v>
      </c>
      <c r="H20" s="22" t="s">
        <v>318</v>
      </c>
      <c r="I20" s="22" t="s">
        <v>321</v>
      </c>
      <c r="J20" s="22" t="s">
        <v>324</v>
      </c>
      <c r="K20" s="21" t="s">
        <v>74</v>
      </c>
    </row>
    <row r="21" ht="91.5" customHeight="1">
      <c r="A21" s="21">
        <v>10.0</v>
      </c>
      <c r="B21" s="22" t="s">
        <v>233</v>
      </c>
      <c r="C21" s="22" t="s">
        <v>235</v>
      </c>
      <c r="D21" s="22" t="s">
        <v>237</v>
      </c>
      <c r="E21" s="22" t="s">
        <v>276</v>
      </c>
      <c r="F21" s="22" t="s">
        <v>330</v>
      </c>
      <c r="G21" s="22" t="s">
        <v>331</v>
      </c>
      <c r="H21" s="22" t="s">
        <v>333</v>
      </c>
      <c r="I21" s="22" t="s">
        <v>182</v>
      </c>
      <c r="J21" s="22" t="s">
        <v>337</v>
      </c>
      <c r="K21" s="21" t="s">
        <v>74</v>
      </c>
    </row>
    <row r="22" ht="91.5" customHeight="1">
      <c r="A22" s="21">
        <v>11.0</v>
      </c>
      <c r="B22" s="22" t="s">
        <v>252</v>
      </c>
      <c r="C22" s="22" t="s">
        <v>256</v>
      </c>
      <c r="D22" s="22" t="s">
        <v>258</v>
      </c>
      <c r="E22" s="22" t="s">
        <v>276</v>
      </c>
      <c r="F22" s="22" t="s">
        <v>344</v>
      </c>
      <c r="G22" s="22" t="s">
        <v>346</v>
      </c>
      <c r="H22" s="22" t="s">
        <v>281</v>
      </c>
      <c r="I22" s="22" t="s">
        <v>182</v>
      </c>
      <c r="J22" s="22" t="s">
        <v>325</v>
      </c>
      <c r="K22" s="21" t="s">
        <v>74</v>
      </c>
    </row>
    <row r="23" ht="91.5" customHeight="1">
      <c r="A23" s="21">
        <v>12.0</v>
      </c>
      <c r="B23" s="22" t="s">
        <v>271</v>
      </c>
      <c r="C23" s="22" t="s">
        <v>273</v>
      </c>
      <c r="D23" s="22" t="s">
        <v>274</v>
      </c>
      <c r="E23" s="22" t="s">
        <v>276</v>
      </c>
      <c r="F23" s="22" t="s">
        <v>358</v>
      </c>
      <c r="G23" s="22" t="s">
        <v>361</v>
      </c>
      <c r="H23" s="22" t="s">
        <v>281</v>
      </c>
      <c r="I23" s="22" t="s">
        <v>182</v>
      </c>
      <c r="J23" s="22" t="s">
        <v>329</v>
      </c>
      <c r="K23" s="21" t="s">
        <v>74</v>
      </c>
    </row>
    <row r="24" ht="91.5" customHeight="1">
      <c r="A24" s="21">
        <v>13.0</v>
      </c>
      <c r="B24" s="22" t="s">
        <v>285</v>
      </c>
      <c r="C24" s="22" t="s">
        <v>287</v>
      </c>
      <c r="D24" s="22" t="s">
        <v>290</v>
      </c>
      <c r="E24" s="22" t="s">
        <v>382</v>
      </c>
      <c r="F24" s="22" t="s">
        <v>384</v>
      </c>
      <c r="G24" s="22" t="s">
        <v>387</v>
      </c>
      <c r="H24" s="22" t="s">
        <v>389</v>
      </c>
      <c r="I24" s="22" t="s">
        <v>392</v>
      </c>
      <c r="J24" s="22" t="s">
        <v>394</v>
      </c>
      <c r="K24" s="21" t="s">
        <v>74</v>
      </c>
    </row>
    <row r="25" ht="91.5" customHeight="1">
      <c r="A25" s="21">
        <v>14.0</v>
      </c>
      <c r="B25" s="22" t="s">
        <v>306</v>
      </c>
      <c r="C25" s="22" t="s">
        <v>308</v>
      </c>
      <c r="D25" s="22" t="s">
        <v>309</v>
      </c>
      <c r="E25" s="22" t="s">
        <v>408</v>
      </c>
      <c r="F25" s="22" t="s">
        <v>409</v>
      </c>
      <c r="G25" s="22" t="s">
        <v>411</v>
      </c>
      <c r="H25" s="22" t="s">
        <v>413</v>
      </c>
      <c r="I25" s="22" t="s">
        <v>416</v>
      </c>
      <c r="J25" s="22" t="s">
        <v>418</v>
      </c>
      <c r="K25" s="21" t="s">
        <v>74</v>
      </c>
    </row>
    <row r="26" ht="91.5" customHeight="1">
      <c r="A26" s="21">
        <v>15.0</v>
      </c>
      <c r="B26" s="22" t="s">
        <v>327</v>
      </c>
      <c r="C26" s="22" t="s">
        <v>328</v>
      </c>
      <c r="D26" s="22" t="s">
        <v>309</v>
      </c>
      <c r="E26" s="22" t="s">
        <v>169</v>
      </c>
      <c r="F26" s="22" t="s">
        <v>424</v>
      </c>
      <c r="G26" s="22" t="s">
        <v>426</v>
      </c>
      <c r="H26" s="22" t="s">
        <v>428</v>
      </c>
      <c r="I26" s="22" t="s">
        <v>432</v>
      </c>
      <c r="J26" s="22" t="s">
        <v>213</v>
      </c>
      <c r="K26" s="21" t="s">
        <v>74</v>
      </c>
    </row>
    <row r="27" ht="91.5" customHeight="1">
      <c r="A27" s="21">
        <v>16.0</v>
      </c>
      <c r="B27" s="22" t="s">
        <v>349</v>
      </c>
      <c r="C27" s="22" t="s">
        <v>351</v>
      </c>
      <c r="D27" s="22" t="s">
        <v>352</v>
      </c>
      <c r="E27" s="22" t="s">
        <v>435</v>
      </c>
      <c r="F27" s="22" t="s">
        <v>436</v>
      </c>
      <c r="G27" s="22" t="s">
        <v>438</v>
      </c>
      <c r="H27" s="22" t="s">
        <v>439</v>
      </c>
      <c r="I27" s="22" t="s">
        <v>440</v>
      </c>
      <c r="J27" s="22" t="s">
        <v>229</v>
      </c>
      <c r="K27" s="21" t="s">
        <v>74</v>
      </c>
    </row>
    <row r="28" ht="91.5" customHeight="1">
      <c r="A28" s="21">
        <v>17.0</v>
      </c>
      <c r="B28" s="22" t="s">
        <v>367</v>
      </c>
      <c r="C28" s="22" t="s">
        <v>368</v>
      </c>
      <c r="D28" s="22" t="s">
        <v>369</v>
      </c>
      <c r="E28" s="22" t="s">
        <v>276</v>
      </c>
      <c r="F28" s="22" t="s">
        <v>446</v>
      </c>
      <c r="G28" s="22" t="s">
        <v>447</v>
      </c>
      <c r="H28" s="22" t="s">
        <v>448</v>
      </c>
      <c r="I28" s="22" t="s">
        <v>449</v>
      </c>
      <c r="J28" s="22" t="s">
        <v>187</v>
      </c>
      <c r="K28" s="21" t="s">
        <v>74</v>
      </c>
    </row>
    <row r="29" ht="91.5" customHeight="1">
      <c r="A29" s="21">
        <v>18.0</v>
      </c>
      <c r="B29" s="22" t="s">
        <v>380</v>
      </c>
      <c r="C29" s="22" t="s">
        <v>381</v>
      </c>
      <c r="D29" s="22" t="s">
        <v>383</v>
      </c>
      <c r="E29" s="22" t="s">
        <v>453</v>
      </c>
      <c r="F29" s="22" t="s">
        <v>457</v>
      </c>
      <c r="G29" s="22" t="s">
        <v>459</v>
      </c>
      <c r="H29" s="22" t="s">
        <v>460</v>
      </c>
      <c r="I29" s="22" t="s">
        <v>462</v>
      </c>
      <c r="J29" s="22" t="s">
        <v>463</v>
      </c>
      <c r="K29" s="21" t="s">
        <v>74</v>
      </c>
    </row>
    <row r="30" ht="91.5" customHeight="1">
      <c r="A30" s="21">
        <v>19.0</v>
      </c>
      <c r="B30" s="22" t="s">
        <v>400</v>
      </c>
      <c r="C30" s="22" t="s">
        <v>401</v>
      </c>
      <c r="D30" s="22" t="s">
        <v>402</v>
      </c>
      <c r="E30" s="22" t="s">
        <v>464</v>
      </c>
      <c r="F30" s="22" t="s">
        <v>465</v>
      </c>
      <c r="G30" s="22" t="s">
        <v>466</v>
      </c>
      <c r="H30" s="22" t="s">
        <v>467</v>
      </c>
      <c r="I30" s="22" t="s">
        <v>468</v>
      </c>
      <c r="J30" s="22" t="s">
        <v>469</v>
      </c>
      <c r="K30" s="21" t="s">
        <v>74</v>
      </c>
    </row>
    <row r="31" ht="91.5" customHeight="1">
      <c r="A31" s="21">
        <v>20.0</v>
      </c>
      <c r="B31" s="22" t="s">
        <v>410</v>
      </c>
      <c r="C31" s="22" t="s">
        <v>412</v>
      </c>
      <c r="D31" s="22" t="s">
        <v>470</v>
      </c>
      <c r="E31" s="22" t="s">
        <v>471</v>
      </c>
      <c r="F31" s="22" t="s">
        <v>472</v>
      </c>
      <c r="G31" s="22" t="s">
        <v>473</v>
      </c>
      <c r="H31" s="22" t="s">
        <v>474</v>
      </c>
      <c r="I31" s="22" t="s">
        <v>475</v>
      </c>
      <c r="J31" s="22" t="s">
        <v>476</v>
      </c>
      <c r="K31" s="21" t="s">
        <v>74</v>
      </c>
    </row>
    <row r="32" ht="91.5" customHeight="1">
      <c r="A32" s="21">
        <v>21.0</v>
      </c>
      <c r="B32" s="22" t="s">
        <v>423</v>
      </c>
      <c r="C32" s="22" t="s">
        <v>425</v>
      </c>
      <c r="D32" s="22" t="s">
        <v>477</v>
      </c>
      <c r="E32" s="22" t="s">
        <v>478</v>
      </c>
      <c r="F32" s="22" t="s">
        <v>479</v>
      </c>
      <c r="G32" s="22" t="s">
        <v>480</v>
      </c>
      <c r="H32" s="22" t="s">
        <v>481</v>
      </c>
      <c r="I32" s="22" t="s">
        <v>482</v>
      </c>
      <c r="J32" s="22" t="s">
        <v>483</v>
      </c>
      <c r="K32" s="21" t="s">
        <v>74</v>
      </c>
    </row>
    <row r="33" ht="91.5" customHeight="1">
      <c r="A33" s="21">
        <v>22.0</v>
      </c>
      <c r="B33" s="22" t="s">
        <v>434</v>
      </c>
      <c r="C33" s="22" t="s">
        <v>437</v>
      </c>
      <c r="D33" s="22" t="s">
        <v>309</v>
      </c>
      <c r="E33" s="22" t="s">
        <v>169</v>
      </c>
      <c r="F33" s="22" t="s">
        <v>484</v>
      </c>
      <c r="G33" s="22" t="s">
        <v>485</v>
      </c>
      <c r="H33" s="22" t="s">
        <v>486</v>
      </c>
      <c r="I33" s="22" t="s">
        <v>487</v>
      </c>
      <c r="J33" s="22" t="s">
        <v>488</v>
      </c>
      <c r="K33" s="21" t="s">
        <v>74</v>
      </c>
    </row>
    <row r="34" ht="91.5" customHeight="1">
      <c r="A34" s="21">
        <v>23.0</v>
      </c>
      <c r="B34" s="22" t="s">
        <v>450</v>
      </c>
      <c r="C34" s="22" t="s">
        <v>451</v>
      </c>
      <c r="D34" s="22" t="s">
        <v>452</v>
      </c>
      <c r="E34" s="22" t="s">
        <v>489</v>
      </c>
      <c r="F34" s="22" t="s">
        <v>490</v>
      </c>
      <c r="G34" s="22" t="s">
        <v>491</v>
      </c>
      <c r="H34" s="22" t="s">
        <v>492</v>
      </c>
      <c r="I34" s="22" t="s">
        <v>493</v>
      </c>
      <c r="J34" s="22" t="s">
        <v>494</v>
      </c>
      <c r="K34" s="21" t="s">
        <v>74</v>
      </c>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D7:F8"/>
    <mergeCell ref="G7:I8"/>
    <mergeCell ref="A7:C8"/>
    <mergeCell ref="A10:K10"/>
    <mergeCell ref="A1:K2"/>
    <mergeCell ref="A3:K4"/>
    <mergeCell ref="A6:C6"/>
    <mergeCell ref="D6:F6"/>
    <mergeCell ref="G6:I6"/>
    <mergeCell ref="J6:K6"/>
    <mergeCell ref="J7:K8"/>
  </mergeCells>
  <conditionalFormatting sqref="E12:E34">
    <cfRule type="expression" dxfId="5" priority="1">
      <formula>LEFT(E12,5)="GREEN"</formula>
    </cfRule>
  </conditionalFormatting>
  <conditionalFormatting sqref="E12:E34">
    <cfRule type="expression" dxfId="9" priority="2">
      <formula>LEFT(E12,5)="AMBER"</formula>
    </cfRule>
  </conditionalFormatting>
  <conditionalFormatting sqref="E12:E34">
    <cfRule type="expression" dxfId="8" priority="3">
      <formula>LEFT(E12,3)="RED"</formula>
    </cfRule>
  </conditionalFormatting>
  <conditionalFormatting sqref="K12:K34">
    <cfRule type="expression" dxfId="6" priority="4">
      <formula>K12="Reference Updated"</formula>
    </cfRule>
  </conditionalFormatting>
  <conditionalFormatting sqref="K12:K34">
    <cfRule type="expression" dxfId="5" priority="5">
      <formula>K12="Closed"</formula>
    </cfRule>
  </conditionalFormatting>
  <conditionalFormatting sqref="K12:K34">
    <cfRule type="expression" dxfId="9" priority="6">
      <formula>K12="Escalated / Accepted"</formula>
    </cfRule>
  </conditionalFormatting>
  <dataValidations>
    <dataValidation type="list" allowBlank="1" sqref="K12:K34">
      <formula1>"Not Started,In Progress,Reference Updated,Escalated / Accepted,Closed"</formula1>
    </dataValidation>
  </dataValidations>
  <printOptions/>
  <pageMargins bottom="0.75" footer="0.0" header="0.0" left="0.7" right="0.7" top="0.75"/>
  <pageSetup orientation="landscape"/>
  <drawing r:id="rId1"/>
  <tableParts count="1">
    <tablePart r:id="rId3"/>
  </tableParts>
</worksheet>
</file>